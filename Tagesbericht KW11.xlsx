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ZlatkovicA\Desktop\WISBADEN\"/>
    </mc:Choice>
  </mc:AlternateContent>
  <xr:revisionPtr revIDLastSave="0" documentId="13_ncr:1_{5144FC6A-4EA3-4607-849E-99E77085B49E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xxx_11.03.24 " sheetId="17" r:id="rId1"/>
    <sheet name="xxx_12.03.24 " sheetId="18" r:id="rId2"/>
    <sheet name="xxx_13.03.24  " sheetId="19" r:id="rId3"/>
    <sheet name="xxx_14.03.24   " sheetId="20" r:id="rId4"/>
    <sheet name="xxx_15.03.24    " sheetId="21" r:id="rId5"/>
    <sheet name="xxx_16.03.24     " sheetId="2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ll_Complexity">OFFSET([1]!tblLists[COMPLEXITY],-1,0,COUNTA([1]!tblLists[COMPLEXITY])+1,1)</definedName>
    <definedName name="All_Portfolios">OFFSET(rng_Portfolios,-1,0,COUNTA(rng_Portfolios)+1,1)</definedName>
    <definedName name="All_Priority">OFFSET([1]!tblLists[PRIORITY],-1,0,COUNTA([1]!tblLists[PRIORITY])+1,1)</definedName>
    <definedName name="All_Projects">OFFSET(rng_Projects,-1,0,COUNTA(rng_Projects)+1,1)</definedName>
    <definedName name="All_Resources">OFFSET(rng_Resource,-1,0,COUNTA(rng_Resource)+1,1)</definedName>
    <definedName name="All_Status">OFFSET([1]!tblLists[STATUS],-1,0,COUNTA([1]!tblLists[STATUS])+1,1)</definedName>
    <definedName name="Benennung_Norm">[2]Gültigkeit!$C$2:$C$30</definedName>
    <definedName name="Data_rozpoczęcia">#REF!</definedName>
    <definedName name="DataRozpoczęcia">'[3]Planner harmonogramu tygodnia'!$AG$2</definedName>
    <definedName name="dni">{0,1,2,3,4,5,6}</definedName>
    <definedName name="dni_powszednie_odwrócone">{"Niedziela","Sobota","Piątek","Czwartek","Środa","Wtorek","Poniedziałek"}</definedName>
    <definedName name="_xlnm.Print_Area" localSheetId="0">'xxx_11.03.24 '!$A$1:$O$98</definedName>
    <definedName name="_xlnm.Print_Area" localSheetId="1">'xxx_12.03.24 '!$A$1:$O$98</definedName>
    <definedName name="_xlnm.Print_Area" localSheetId="2">'xxx_13.03.24  '!$A$1:$O$98</definedName>
    <definedName name="_xlnm.Print_Area" localSheetId="3">'xxx_14.03.24   '!$A$1:$O$98</definedName>
    <definedName name="_xlnm.Print_Area" localSheetId="4">'xxx_15.03.24    '!$A$1:$O$98</definedName>
    <definedName name="_xlnm.Print_Area" localSheetId="5">'xxx_16.03.24     '!$A$1:$O$98</definedName>
    <definedName name="dzień_powszedni_opcja">MATCH(Dzień_rozpoczęcia,dni_powszednie_odwrócone,0)-2</definedName>
    <definedName name="Dzień_rozpoczęcia">#REF!</definedName>
    <definedName name="Godzina_rozpoczęcia">#REF!</definedName>
    <definedName name="Interval">'[4]12-Month Sales Forecast'!#REF!</definedName>
    <definedName name="miesiące">{"STYCZEŃ","February","March","April","May","June","July","August","September","October","November","December"}</definedName>
    <definedName name="Okresy_planowane">'[3]Terminarz projektu'!A$4=MEDIAN('[3]Terminarz projektu'!A$4,'[3]Terminarz projektu'!$C1,'[3]Terminarz projektu'!$C1+'[3]Terminarz projektu'!$D1-1)</definedName>
    <definedName name="Okresy_rzeczywiste">'[3]Terminarz projektu'!A$4=MEDIAN('[3]Terminarz projektu'!A$4,'[3]Terminarz projektu'!$E1,'[3]Terminarz projektu'!$E1+'[3]Terminarz projektu'!$F1-1)</definedName>
    <definedName name="Plan">Okresy_planowane*('[3]Terminarz projektu'!$C1&gt;0)</definedName>
    <definedName name="Początek_cze">WEEKDAY(DATE(Rok,6,1),2)</definedName>
    <definedName name="Początek_gru">WEEKDAY(DATE(Rok,12,1),2)</definedName>
    <definedName name="Początek_kwi">WEEKDAY(DATE(Rok,4,1),2)</definedName>
    <definedName name="Początek_lip">WEEKDAY(DATE(Rok,7,1),2)</definedName>
    <definedName name="Początek_lis">WEEKDAY(DATE(Rok,11,1),2)</definedName>
    <definedName name="Początek_lut">WEEKDAY(DATE(Rok,2,1),2)</definedName>
    <definedName name="Początek_maj">WEEKDAY(DATE(Rok,5,1),2)</definedName>
    <definedName name="Początek_mar">WEEKDAY(DATE(Rok,3,1),2)</definedName>
    <definedName name="Początek_paź">WEEKDAY(DATE(Rok,10,1),2)</definedName>
    <definedName name="Początek_sie">WEEKDAY(DATE(Rok,8,1),2)</definedName>
    <definedName name="Początek_sty">WEEKDAY(DATE(Rok,1,1),2)</definedName>
    <definedName name="Początek_wrz">WEEKDAY(DATE(Rok,9,1),2)</definedName>
    <definedName name="Pole_Kto">[5]!tblDane[KTO]</definedName>
    <definedName name="Poziomy_ważności">[6]!Klucz_priorytetów_zadań[Task Priority]</definedName>
    <definedName name="Priorytet_1">'[6]Konfiguracja priorytetów zadań'!$B$5</definedName>
    <definedName name="Priorytet_2">'[6]Konfiguracja priorytetów zadań'!$B$6</definedName>
    <definedName name="Priorytet_3">'[6]Konfiguracja priorytetów zadań'!$B$7</definedName>
    <definedName name="Procent_wykonania">Procent_wykonania_poza*Okresy_planowane</definedName>
    <definedName name="Procent_wykonania_poza">('[3]Terminarz projektu'!A$4=MEDIAN('[3]Terminarz projektu'!A$4,'[3]Terminarz projektu'!$E1,'[3]Terminarz projektu'!$E1+'[3]Terminarz projektu'!$F1)*('[3]Terminarz projektu'!$E1&gt;0))*(('[3]Terminarz projektu'!A$4&lt;(INT('[3]Terminarz projektu'!$E1+'[3]Terminarz projektu'!$F1*'[3]Terminarz projektu'!$G1)))+('[3]Terminarz projektu'!A$4='[3]Terminarz projektu'!$E1))*('[3]Terminarz projektu'!$G1&gt;0)</definedName>
    <definedName name="rng_C_GanttFields">'[1]Gantt Calculations'!$I$11:$I$26</definedName>
    <definedName name="rng_C_Weekends">'[1]Gantt Calculations'!$F$19</definedName>
    <definedName name="rng_Clients">[1]!tblClients[NAME]</definedName>
    <definedName name="rng_g_actDate">[1]Gantt!$BS$105</definedName>
    <definedName name="rng_g_View">[1]Gantt!$BZ$105</definedName>
    <definedName name="rng_H_Holidays">[1]!tblHolidays[Date]</definedName>
    <definedName name="rng_L_Complexity">[1]!tblLists[COMPLEXITY]</definedName>
    <definedName name="rng_L_EmpDep">[1]!tblLists[EMP DEPARTMENT]</definedName>
    <definedName name="rng_L_EmpType">[1]!tblLists[EMP TYPE]</definedName>
    <definedName name="rng_L_Priority">[1]!tblLists[PRIORITY]</definedName>
    <definedName name="rng_L_Status">[1]!tblLists[STATUS]</definedName>
    <definedName name="rng_L_YesNo">[1]!tblLists[YESNO]</definedName>
    <definedName name="rng_Portfolio_Balance">OFFSET(rng_Portfolios,0,7)</definedName>
    <definedName name="rng_Portfolio_Budget">OFFSET(rng_Portfolios,0,5)</definedName>
    <definedName name="rng_Portfolio_Spent">OFFSET(rng_Portfolios,0,6)</definedName>
    <definedName name="rng_Portfolios">OFFSET([1]!tblPortfolios[[#Headers],[PORTFOLIO NAME]],1,0,COUNTA([1]!tblPortfolios[PORTFOLIO NAME]),1)</definedName>
    <definedName name="rng_Pro_Duration">IF('[1]Project Dashboard_Calc'!$H$7=0,'[1]Project Dashboard_Calc'!$S$4:$S$4,OFFSET('[1]Task Management'!$E$10,'[1]Project Dashboard_Calc'!$H$7,42,'[1]Project Dashboard_Calc'!$H$8,1))</definedName>
    <definedName name="rng_Pro_Progress">IF('[1]Project Dashboard_Calc'!$H$7=0,'[1]Project Dashboard_Calc'!$T$4:$T$4,OFFSET('[1]Task Management'!$E$10,'[1]Project Dashboard_Calc'!$H$7,34,'[1]Project Dashboard_Calc'!$H$8,1))</definedName>
    <definedName name="rng_Pro_Start">IF('[1]Project Dashboard_Calc'!$H$7=0,'[1]Project Dashboard_Calc'!$R$4:$R$4,OFFSET('[1]Task Management'!$E$10,'[1]Project Dashboard_Calc'!$H$7,6,'[1]Project Dashboard_Calc'!$H$8,1))</definedName>
    <definedName name="rng_Pro_Tasks">IF('[1]Project Dashboard_Calc'!$H$7=0,'[1]Project Dashboard_Calc'!$Q$4:$Q$4,OFFSET('[1]Task Management'!$E$10,'[1]Project Dashboard_Calc'!$H$7,3,'[1]Project Dashboard_Calc'!$H$8,1))</definedName>
    <definedName name="rng_Progress">[1]!tblLists[Progress]</definedName>
    <definedName name="rng_Projects">OFFSET([1]!tblProjects[[#Headers],[PROJECT NAME]],1,0,COUNTA([1]!tblProjects[PROJECT NAME]),1)</definedName>
    <definedName name="rng_Projects_Balance">OFFSET(rng_Projects,0,12)</definedName>
    <definedName name="rng_Projects_Budget">OFFSET(rng_Projects,0,4)</definedName>
    <definedName name="rng_Projects_Spent">OFFSET(rng_Projects,0,11)</definedName>
    <definedName name="rng_Resource">[1]!tblResource[EMP NAME]</definedName>
    <definedName name="rng_RiskCategory">[1]!tblLists[Risk Category]</definedName>
    <definedName name="rng_RiskStatus">[1]!tblLists[Risk Status]</definedName>
    <definedName name="rngNav_IData">#REF!</definedName>
    <definedName name="RngProjects_List" hidden="1">IF([7]ToolCal!$BA$1=1,[7]!tblProjects[Project Name],"")</definedName>
    <definedName name="rngRS_List_All">OFFSET([8]Lists!$M$1,1,0,COUNTA([8]Lists!$M:$M)-1,1)</definedName>
    <definedName name="Rok">#REF!</definedName>
    <definedName name="Rok_przestępny">OR(MOD(Rok,400)=0,AND(MOD(Rok,4)=0,MOD(Rok,100)&lt;&gt;0))</definedName>
    <definedName name="Rozpoczęcieprojektu">#REF!</definedName>
    <definedName name="Rzeczywiste">(Okresy_rzeczywiste*('[3]Terminarz projektu'!$E1&gt;0))*Okresy_planowane</definedName>
    <definedName name="Rzeczywiste_poza">Okresy_rzeczywiste*('[3]Terminarz projektu'!$E1&gt;0)</definedName>
    <definedName name="ScheduleStart">'[4]12-Month Sales Forecast'!#REF!</definedName>
    <definedName name="siatka_dnia">dni+tygodnie*7</definedName>
    <definedName name="Tydzień">[9]DZIENNY!$F$34</definedName>
    <definedName name="tygodnie">{0;1;2;3;4;5;6}</definedName>
    <definedName name="Type">'[10]Maintenance Work Order'!#REF!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wybrany_okres">'[3]Terminarz projektu'!$H$2</definedName>
    <definedName name="Wyszukiwanie_Kto">OFFSET('[5]Odnośnik nazwy'!$A$3,,,COUNT('[5]Odnośnik nazwy'!$B:$B),1)</definedName>
    <definedName name="zaadania">{0,1,2,3,4,5,6}</definedName>
    <definedName name="Zakończenieprojektu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22" l="1"/>
  <c r="O39" i="22"/>
  <c r="O38" i="22"/>
  <c r="O37" i="22"/>
  <c r="O36" i="22"/>
  <c r="O35" i="22"/>
  <c r="O34" i="22"/>
  <c r="O33" i="22"/>
  <c r="O32" i="22"/>
  <c r="O31" i="22"/>
  <c r="O41" i="22" s="1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40" i="21"/>
  <c r="O39" i="21"/>
  <c r="O38" i="21"/>
  <c r="O37" i="21"/>
  <c r="O36" i="21"/>
  <c r="O35" i="21"/>
  <c r="O34" i="21"/>
  <c r="O33" i="21"/>
  <c r="O32" i="21"/>
  <c r="O31" i="21"/>
  <c r="O41" i="21" s="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40" i="20"/>
  <c r="O39" i="20"/>
  <c r="O38" i="20"/>
  <c r="O37" i="20"/>
  <c r="O36" i="20"/>
  <c r="O35" i="20"/>
  <c r="O34" i="20"/>
  <c r="O33" i="20"/>
  <c r="O32" i="20"/>
  <c r="O31" i="20"/>
  <c r="O41" i="20" s="1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40" i="19"/>
  <c r="O39" i="19"/>
  <c r="O38" i="19"/>
  <c r="O37" i="19"/>
  <c r="O36" i="19"/>
  <c r="O35" i="19"/>
  <c r="O34" i="19"/>
  <c r="O33" i="19"/>
  <c r="O32" i="19"/>
  <c r="O31" i="19"/>
  <c r="O41" i="19" s="1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40" i="18"/>
  <c r="O39" i="18"/>
  <c r="O38" i="18"/>
  <c r="O37" i="18"/>
  <c r="O36" i="18"/>
  <c r="O35" i="18"/>
  <c r="O34" i="18"/>
  <c r="O33" i="18"/>
  <c r="O32" i="18"/>
  <c r="O31" i="18"/>
  <c r="O41" i="18" s="1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40" i="17"/>
  <c r="O39" i="17"/>
  <c r="O38" i="17"/>
  <c r="O37" i="17"/>
  <c r="O36" i="17"/>
  <c r="O35" i="17"/>
  <c r="O34" i="17"/>
  <c r="O33" i="17"/>
  <c r="O32" i="17"/>
  <c r="O31" i="17"/>
  <c r="O41" i="17" s="1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26" i="22" l="1"/>
  <c r="O26" i="21"/>
  <c r="O26" i="20"/>
  <c r="O26" i="19"/>
  <c r="O26" i="18"/>
  <c r="O26" i="17"/>
</calcChain>
</file>

<file path=xl/sharedStrings.xml><?xml version="1.0" encoding="utf-8"?>
<sst xmlns="http://schemas.openxmlformats.org/spreadsheetml/2006/main" count="686" uniqueCount="108">
  <si>
    <t>Datum / Date</t>
  </si>
  <si>
    <t>Tag / Day</t>
  </si>
  <si>
    <t>QA/QC</t>
  </si>
  <si>
    <t xml:space="preserve">HSE   </t>
  </si>
  <si>
    <t>Montag</t>
  </si>
  <si>
    <t>Dienstag</t>
  </si>
  <si>
    <t>Berichtnummer</t>
  </si>
  <si>
    <t>Wetter:</t>
  </si>
  <si>
    <t>Arbeitszeit:</t>
  </si>
  <si>
    <t xml:space="preserve">Eingesetzte Arbeitskräfte: </t>
  </si>
  <si>
    <t xml:space="preserve">Tagschicht: 07:00 - 18:00 Uhr    </t>
  </si>
  <si>
    <t xml:space="preserve">Spätschicht: 15:00 - 01:00 Uhr </t>
  </si>
  <si>
    <t>Firma</t>
  </si>
  <si>
    <t>Bauingenieur/     Vorarbeiter</t>
  </si>
  <si>
    <t>Richtmeister</t>
  </si>
  <si>
    <t>Schlosser/
Facharbeiter</t>
  </si>
  <si>
    <t>Schweißer</t>
  </si>
  <si>
    <t>Bewölkt, +10 °C, Wind: 5 km/h</t>
  </si>
  <si>
    <t>Personal
Assistentin</t>
  </si>
  <si>
    <t>Terminplanung</t>
  </si>
  <si>
    <t>Saniter</t>
  </si>
  <si>
    <t>Elektriker</t>
  </si>
  <si>
    <t>Kranfahrer</t>
  </si>
  <si>
    <t>Gerüstbauer</t>
  </si>
  <si>
    <t>Summe</t>
  </si>
  <si>
    <t xml:space="preserve">Mostostal Tageschicht </t>
  </si>
  <si>
    <t>Lühr Tageschicht</t>
  </si>
  <si>
    <t>Lühr Spätschicht</t>
  </si>
  <si>
    <t>KW-Kranwerke</t>
  </si>
  <si>
    <t>PPA-Engineering</t>
  </si>
  <si>
    <t>Doosan Skoda Power</t>
  </si>
  <si>
    <t xml:space="preserve">Next Cooling </t>
  </si>
  <si>
    <t>J+G</t>
  </si>
  <si>
    <t>Megami</t>
  </si>
  <si>
    <t>Fahrenholz</t>
  </si>
  <si>
    <t>Eingesetzte Geräte:</t>
  </si>
  <si>
    <t xml:space="preserve">Firma
</t>
  </si>
  <si>
    <t>Krane 400 t</t>
  </si>
  <si>
    <t>Krane 300 t</t>
  </si>
  <si>
    <t xml:space="preserve">Mobil Krane </t>
  </si>
  <si>
    <t>Stapler</t>
  </si>
  <si>
    <t>Anhänger</t>
  </si>
  <si>
    <t>LKW</t>
  </si>
  <si>
    <t>Hebebühne</t>
  </si>
  <si>
    <t>Mostostal</t>
  </si>
  <si>
    <t>JWW</t>
  </si>
  <si>
    <t>Lühr</t>
  </si>
  <si>
    <t>KWM</t>
  </si>
  <si>
    <t>PPA</t>
  </si>
  <si>
    <t>Next</t>
  </si>
  <si>
    <t>Skoda</t>
  </si>
  <si>
    <t>DSD Power</t>
  </si>
  <si>
    <t>Ausgeführte Arbeiten</t>
  </si>
  <si>
    <t>1. Mostostal Kraków.</t>
  </si>
  <si>
    <t>2. JWW INVEST S.A.</t>
  </si>
  <si>
    <t>1. Rost</t>
  </si>
  <si>
    <t>2. Druckteile</t>
  </si>
  <si>
    <t xml:space="preserve">Mostostal Spätschicht </t>
  </si>
  <si>
    <t>JWW Spätschicht</t>
  </si>
  <si>
    <t>JWW Tageschicht</t>
  </si>
  <si>
    <t>Doosan Tageschicht</t>
  </si>
  <si>
    <t>Doosan Spätschicht</t>
  </si>
  <si>
    <t>- Keine Aktivitäten</t>
  </si>
  <si>
    <t>Krane 500 t</t>
  </si>
  <si>
    <t xml:space="preserve">- Endmontage Membranwände / Schweißen von Membranwandrohren. </t>
  </si>
  <si>
    <t>2.1 VZ</t>
  </si>
  <si>
    <t>2.2 HZ</t>
  </si>
  <si>
    <t>- Vormontage ECO – Austrittshaube.</t>
  </si>
  <si>
    <t>3. Allgemein</t>
  </si>
  <si>
    <t>3. Lühr.</t>
  </si>
  <si>
    <t>- Schweißen von Füllstücken und Schlitze Membranwände.</t>
  </si>
  <si>
    <t>1 .Rauchgasreinigung</t>
  </si>
  <si>
    <t>- Stahlbau Vormontage.</t>
  </si>
  <si>
    <r>
      <rPr>
        <b/>
        <sz val="25"/>
        <color rgb="FF000000"/>
        <rFont val="Arial"/>
        <family val="2"/>
      </rPr>
      <t>Tagesbericht</t>
    </r>
    <r>
      <rPr>
        <b/>
        <i/>
        <sz val="18"/>
        <color rgb="FF000000"/>
        <rFont val="Calibri"/>
        <family val="2"/>
        <charset val="238"/>
      </rPr>
      <t xml:space="preserve">
</t>
    </r>
  </si>
  <si>
    <t>4. KW-Kranwerke</t>
  </si>
  <si>
    <t>1. Müllbunkerkran</t>
  </si>
  <si>
    <t>5 . PPA-Engineering.</t>
  </si>
  <si>
    <t>- Montage interne Rohrleitung.</t>
  </si>
  <si>
    <t>-Vorfertigung von Materialien für Kabeltrassen.</t>
  </si>
  <si>
    <t>6. Doosan Skoda Power</t>
  </si>
  <si>
    <t>1. Maschinenhaus:</t>
  </si>
  <si>
    <t>7. Next Cooling Systems.</t>
  </si>
  <si>
    <t>1. LUKO</t>
  </si>
  <si>
    <t>8. DSD Power</t>
  </si>
  <si>
    <t>1. Wasser-Dampf-Kreislauf</t>
  </si>
  <si>
    <t>- Büroarbeiten</t>
  </si>
  <si>
    <t>Name</t>
  </si>
  <si>
    <t>Datum</t>
  </si>
  <si>
    <t>Unterschrift</t>
  </si>
  <si>
    <r>
      <t>Summe</t>
    </r>
    <r>
      <rPr>
        <b/>
        <i/>
        <sz val="11"/>
        <color rgb="FF000000"/>
        <rFont val="Times New Roman"/>
        <family val="1"/>
        <charset val="238"/>
      </rPr>
      <t xml:space="preserve"> </t>
    </r>
  </si>
  <si>
    <t>i.A. Michael Röttgermann</t>
  </si>
  <si>
    <t>- Montage Stahlbau für LUKO 0 - 10,5 m.</t>
  </si>
  <si>
    <t>Donnerstag</t>
  </si>
  <si>
    <t>Freitag</t>
  </si>
  <si>
    <t>- Montage ECO 3, ECO 2, ECO 1 paketen.</t>
  </si>
  <si>
    <t>Bauleitung</t>
  </si>
  <si>
    <t>- Treppenturm -vorbereitung</t>
  </si>
  <si>
    <t>- Montage Rezirkulationselitung vom Rohgaskanal Filter 1 zum Rezirkulationsventilator</t>
  </si>
  <si>
    <t>- Montage Kabeltrassen.</t>
  </si>
  <si>
    <t>-Montage Kabeltrassen für KH.</t>
  </si>
  <si>
    <t>-Montage Kabeltrassen von KH - RGR.</t>
  </si>
  <si>
    <t>- Ausrichtgetriebe mit Kupplungsadapter (axial, radial)</t>
  </si>
  <si>
    <t>-ZENTRIERUNG UND ANZEIGE DES AUSLAUFS DER KUPPLUNGEN HP/IP-LP</t>
  </si>
  <si>
    <t>- Material Beschaffung</t>
  </si>
  <si>
    <t>-</t>
  </si>
  <si>
    <t>Mittwoch</t>
  </si>
  <si>
    <t>xxx</t>
  </si>
  <si>
    <t>Samstag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</si>
</sst>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rgb="FF000000"/>
      <name val="Calibri"/>
    </font>
    <font>
      <sz val="10"/>
      <color rgb="FF464646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2"/>
      <color theme="1"/>
      <name val="Calibri"/>
      <family val="2"/>
      <scheme val="minor"/>
    </font>
    <font>
      <sz val="8"/>
      <color rgb="FF000000"/>
      <name val="Calibri"/>
      <family val="2"/>
      <charset val="238"/>
    </font>
    <font>
      <b/>
      <i/>
      <sz val="18"/>
      <color rgb="FF000000"/>
      <name val="Calibri"/>
      <family val="2"/>
      <charset val="238"/>
    </font>
    <font>
      <b/>
      <i/>
      <sz val="10"/>
      <color rgb="FF000000"/>
      <name val="Arial"/>
      <family val="2"/>
      <charset val="238"/>
    </font>
    <font>
      <b/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b/>
      <sz val="10"/>
      <color rgb="FF464646"/>
      <name val="Arial"/>
      <family val="2"/>
      <charset val="238"/>
    </font>
    <font>
      <b/>
      <sz val="9"/>
      <color rgb="FF000000"/>
      <name val="ArialMT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  <charset val="238"/>
    </font>
    <font>
      <b/>
      <i/>
      <sz val="11"/>
      <color rgb="FF000000"/>
      <name val="Arial"/>
      <family val="2"/>
    </font>
    <font>
      <b/>
      <i/>
      <sz val="9"/>
      <color rgb="FF000000"/>
      <name val="ArialMT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25"/>
      <color rgb="FF000000"/>
      <name val="Arial"/>
      <family val="2"/>
    </font>
    <font>
      <b/>
      <i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1"/>
      <color rgb="FF000000"/>
      <name val="Arial"/>
      <family val="2"/>
      <charset val="238"/>
    </font>
    <font>
      <b/>
      <i/>
      <sz val="11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98">
    <xf numFmtId="0" fontId="0" fillId="0" borderId="0" xfId="0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textRotation="90" wrapText="1"/>
    </xf>
    <xf numFmtId="0" fontId="17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20" fillId="0" borderId="3" xfId="0" applyNumberFormat="1" applyFont="1" applyBorder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49" fontId="20" fillId="0" borderId="5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left" vertical="center"/>
    </xf>
    <xf numFmtId="49" fontId="20" fillId="0" borderId="4" xfId="0" applyNumberFormat="1" applyFont="1" applyBorder="1" applyAlignment="1">
      <alignment horizontal="left" vertical="center"/>
    </xf>
    <xf numFmtId="49" fontId="20" fillId="0" borderId="5" xfId="0" applyNumberFormat="1" applyFont="1" applyBorder="1" applyAlignment="1">
      <alignment horizontal="left" vertical="center"/>
    </xf>
    <xf numFmtId="0" fontId="19" fillId="4" borderId="3" xfId="0" applyFont="1" applyFill="1" applyBorder="1" applyAlignment="1">
      <alignment horizontal="left" vertical="center"/>
    </xf>
    <xf numFmtId="0" fontId="19" fillId="4" borderId="4" xfId="0" applyFont="1" applyFill="1" applyBorder="1" applyAlignment="1">
      <alignment horizontal="left" vertical="center"/>
    </xf>
    <xf numFmtId="0" fontId="19" fillId="4" borderId="5" xfId="0" applyFont="1" applyFill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49" fontId="24" fillId="0" borderId="3" xfId="0" applyNumberFormat="1" applyFont="1" applyBorder="1" applyAlignment="1">
      <alignment horizontal="left" vertical="center"/>
    </xf>
    <xf numFmtId="49" fontId="24" fillId="0" borderId="4" xfId="0" applyNumberFormat="1" applyFont="1" applyBorder="1" applyAlignment="1">
      <alignment horizontal="left" vertical="center"/>
    </xf>
    <xf numFmtId="49" fontId="24" fillId="0" borderId="5" xfId="0" applyNumberFormat="1" applyFont="1" applyBorder="1" applyAlignment="1">
      <alignment horizontal="left" vertical="center"/>
    </xf>
    <xf numFmtId="49" fontId="20" fillId="2" borderId="3" xfId="0" applyNumberFormat="1" applyFont="1" applyFill="1" applyBorder="1" applyAlignment="1">
      <alignment horizontal="left" vertical="center"/>
    </xf>
    <xf numFmtId="49" fontId="20" fillId="2" borderId="4" xfId="0" applyNumberFormat="1" applyFont="1" applyFill="1" applyBorder="1" applyAlignment="1">
      <alignment horizontal="left" vertical="center"/>
    </xf>
    <xf numFmtId="49" fontId="20" fillId="2" borderId="5" xfId="0" applyNumberFormat="1" applyFont="1" applyFill="1" applyBorder="1" applyAlignment="1">
      <alignment horizontal="left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24" fillId="2" borderId="3" xfId="0" applyNumberFormat="1" applyFont="1" applyFill="1" applyBorder="1" applyAlignment="1">
      <alignment horizontal="left" vertical="center"/>
    </xf>
    <xf numFmtId="49" fontId="24" fillId="2" borderId="4" xfId="0" applyNumberFormat="1" applyFont="1" applyFill="1" applyBorder="1" applyAlignment="1">
      <alignment horizontal="left" vertical="center"/>
    </xf>
    <xf numFmtId="49" fontId="24" fillId="2" borderId="5" xfId="0" applyNumberFormat="1" applyFont="1" applyFill="1" applyBorder="1" applyAlignment="1">
      <alignment horizontal="left" vertical="center"/>
    </xf>
    <xf numFmtId="49" fontId="20" fillId="3" borderId="3" xfId="0" applyNumberFormat="1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/>
    </xf>
    <xf numFmtId="49" fontId="20" fillId="3" borderId="5" xfId="0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21" fillId="4" borderId="3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left" vertical="center"/>
    </xf>
    <xf numFmtId="49" fontId="19" fillId="0" borderId="4" xfId="0" applyNumberFormat="1" applyFont="1" applyBorder="1" applyAlignment="1">
      <alignment horizontal="left" vertical="center"/>
    </xf>
    <xf numFmtId="49" fontId="19" fillId="0" borderId="5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 wrapText="1"/>
    </xf>
  </cellXfs>
  <cellStyles count="2">
    <cellStyle name="Normalny 2" xfId="1" xr:uid="{FF0D498F-813E-40F6-A220-48DDDA0E7CF1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image001.jpg@01D95D95.6A876A3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image001.jpg@01D95D95.6A876A3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image001.jpg@01D95D95.6A876A3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image001.jpg@01D95D95.6A876A3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image001.jpg@01D95D95.6A876A3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image001.jpg@01D95D95.6A876A3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7</xdr:row>
      <xdr:rowOff>0</xdr:rowOff>
    </xdr:from>
    <xdr:to>
      <xdr:col>11</xdr:col>
      <xdr:colOff>409575</xdr:colOff>
      <xdr:row>7</xdr:row>
      <xdr:rowOff>19050</xdr:rowOff>
    </xdr:to>
    <xdr:pic>
      <xdr:nvPicPr>
        <xdr:cNvPr id="2" name="Picture 100">
          <a:extLst>
            <a:ext uri="{FF2B5EF4-FFF2-40B4-BE49-F238E27FC236}">
              <a16:creationId xmlns:a16="http://schemas.microsoft.com/office/drawing/2014/main" id="{59F1BC58-FE38-4685-B928-3666F5288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33600"/>
          <a:ext cx="95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3" name="Picture 101">
          <a:extLst>
            <a:ext uri="{FF2B5EF4-FFF2-40B4-BE49-F238E27FC236}">
              <a16:creationId xmlns:a16="http://schemas.microsoft.com/office/drawing/2014/main" id="{56CEC319-97FE-4336-B03B-0298021E6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28575</xdr:rowOff>
    </xdr:to>
    <xdr:pic>
      <xdr:nvPicPr>
        <xdr:cNvPr id="4" name="Picture 102">
          <a:extLst>
            <a:ext uri="{FF2B5EF4-FFF2-40B4-BE49-F238E27FC236}">
              <a16:creationId xmlns:a16="http://schemas.microsoft.com/office/drawing/2014/main" id="{D0A63AF2-D7B0-4B89-95A2-A4F85EA3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11</xdr:row>
      <xdr:rowOff>9525</xdr:rowOff>
    </xdr:from>
    <xdr:to>
      <xdr:col>0</xdr:col>
      <xdr:colOff>476250</xdr:colOff>
      <xdr:row>11</xdr:row>
      <xdr:rowOff>47625</xdr:rowOff>
    </xdr:to>
    <xdr:pic>
      <xdr:nvPicPr>
        <xdr:cNvPr id="5" name="Picture 104">
          <a:extLst>
            <a:ext uri="{FF2B5EF4-FFF2-40B4-BE49-F238E27FC236}">
              <a16:creationId xmlns:a16="http://schemas.microsoft.com/office/drawing/2014/main" id="{EF7EBB97-5159-4467-9D4E-FB3A1495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743325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0</xdr:rowOff>
    </xdr:to>
    <xdr:pic>
      <xdr:nvPicPr>
        <xdr:cNvPr id="6" name="Picture 105">
          <a:extLst>
            <a:ext uri="{FF2B5EF4-FFF2-40B4-BE49-F238E27FC236}">
              <a16:creationId xmlns:a16="http://schemas.microsoft.com/office/drawing/2014/main" id="{2D7A9ECC-378C-4EBB-8462-AC4F9337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14</xdr:row>
      <xdr:rowOff>0</xdr:rowOff>
    </xdr:from>
    <xdr:to>
      <xdr:col>0</xdr:col>
      <xdr:colOff>476250</xdr:colOff>
      <xdr:row>14</xdr:row>
      <xdr:rowOff>0</xdr:rowOff>
    </xdr:to>
    <xdr:pic>
      <xdr:nvPicPr>
        <xdr:cNvPr id="7" name="Picture 107">
          <a:extLst>
            <a:ext uri="{FF2B5EF4-FFF2-40B4-BE49-F238E27FC236}">
              <a16:creationId xmlns:a16="http://schemas.microsoft.com/office/drawing/2014/main" id="{C230E41C-454D-49DD-9ED8-60D9C9EC3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305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25</xdr:row>
      <xdr:rowOff>0</xdr:rowOff>
    </xdr:from>
    <xdr:to>
      <xdr:col>0</xdr:col>
      <xdr:colOff>476250</xdr:colOff>
      <xdr:row>25</xdr:row>
      <xdr:rowOff>0</xdr:rowOff>
    </xdr:to>
    <xdr:pic>
      <xdr:nvPicPr>
        <xdr:cNvPr id="8" name="Picture 109">
          <a:extLst>
            <a:ext uri="{FF2B5EF4-FFF2-40B4-BE49-F238E27FC236}">
              <a16:creationId xmlns:a16="http://schemas.microsoft.com/office/drawing/2014/main" id="{DF15DA65-9A28-46A1-9D9E-5271E9381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381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28</xdr:row>
      <xdr:rowOff>19050</xdr:rowOff>
    </xdr:from>
    <xdr:to>
      <xdr:col>11</xdr:col>
      <xdr:colOff>409575</xdr:colOff>
      <xdr:row>28</xdr:row>
      <xdr:rowOff>57150</xdr:rowOff>
    </xdr:to>
    <xdr:pic>
      <xdr:nvPicPr>
        <xdr:cNvPr id="9" name="Picture 101">
          <a:extLst>
            <a:ext uri="{FF2B5EF4-FFF2-40B4-BE49-F238E27FC236}">
              <a16:creationId xmlns:a16="http://schemas.microsoft.com/office/drawing/2014/main" id="{7C798A4D-41EA-4337-B0F6-E891AAE3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97230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38</xdr:row>
      <xdr:rowOff>0</xdr:rowOff>
    </xdr:from>
    <xdr:to>
      <xdr:col>0</xdr:col>
      <xdr:colOff>476250</xdr:colOff>
      <xdr:row>38</xdr:row>
      <xdr:rowOff>0</xdr:rowOff>
    </xdr:to>
    <xdr:pic>
      <xdr:nvPicPr>
        <xdr:cNvPr id="10" name="Picture 105">
          <a:extLst>
            <a:ext uri="{FF2B5EF4-FFF2-40B4-BE49-F238E27FC236}">
              <a16:creationId xmlns:a16="http://schemas.microsoft.com/office/drawing/2014/main" id="{EF042857-03A3-4E92-9A22-95D262F74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38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AE870C54-3ECD-4FDC-9874-2DA558F33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2" name="Picture 109">
          <a:extLst>
            <a:ext uri="{FF2B5EF4-FFF2-40B4-BE49-F238E27FC236}">
              <a16:creationId xmlns:a16="http://schemas.microsoft.com/office/drawing/2014/main" id="{CC47B42B-4EB0-4646-A103-4C148F718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190501</xdr:rowOff>
    </xdr:from>
    <xdr:to>
      <xdr:col>0</xdr:col>
      <xdr:colOff>1444069</xdr:colOff>
      <xdr:row>0</xdr:row>
      <xdr:rowOff>784226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7A319F4D-0C85-49E5-90C7-BAAF49AB4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1"/>
          <a:ext cx="1348819" cy="593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246458</xdr:colOff>
      <xdr:row>0</xdr:row>
      <xdr:rowOff>103583</xdr:rowOff>
    </xdr:from>
    <xdr:to>
      <xdr:col>14</xdr:col>
      <xdr:colOff>406001</xdr:colOff>
      <xdr:row>0</xdr:row>
      <xdr:rowOff>972741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C2ABB789-4F43-4860-9EB6-2537C21BD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583" y="103583"/>
          <a:ext cx="1502568" cy="8691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400050</xdr:colOff>
      <xdr:row>8</xdr:row>
      <xdr:rowOff>19050</xdr:rowOff>
    </xdr:from>
    <xdr:to>
      <xdr:col>9</xdr:col>
      <xdr:colOff>409575</xdr:colOff>
      <xdr:row>8</xdr:row>
      <xdr:rowOff>57150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80A4CC72-74EA-4B13-A593-02E6B44F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16" name="Picture 101">
          <a:extLst>
            <a:ext uri="{FF2B5EF4-FFF2-40B4-BE49-F238E27FC236}">
              <a16:creationId xmlns:a16="http://schemas.microsoft.com/office/drawing/2014/main" id="{61DD28AD-C091-481A-B6D6-E622C4375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7" name="Picture 101">
          <a:extLst>
            <a:ext uri="{FF2B5EF4-FFF2-40B4-BE49-F238E27FC236}">
              <a16:creationId xmlns:a16="http://schemas.microsoft.com/office/drawing/2014/main" id="{1E740F98-DFDB-4017-8C73-2F48F4F59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400050</xdr:colOff>
      <xdr:row>8</xdr:row>
      <xdr:rowOff>19050</xdr:rowOff>
    </xdr:from>
    <xdr:to>
      <xdr:col>8</xdr:col>
      <xdr:colOff>409575</xdr:colOff>
      <xdr:row>8</xdr:row>
      <xdr:rowOff>57150</xdr:rowOff>
    </xdr:to>
    <xdr:pic>
      <xdr:nvPicPr>
        <xdr:cNvPr id="18" name="Picture 101">
          <a:extLst>
            <a:ext uri="{FF2B5EF4-FFF2-40B4-BE49-F238E27FC236}">
              <a16:creationId xmlns:a16="http://schemas.microsoft.com/office/drawing/2014/main" id="{95667630-A220-44AF-82C7-66B911F88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9" name="Picture 101">
          <a:extLst>
            <a:ext uri="{FF2B5EF4-FFF2-40B4-BE49-F238E27FC236}">
              <a16:creationId xmlns:a16="http://schemas.microsoft.com/office/drawing/2014/main" id="{11F0CE46-AC81-4CEC-BB39-70EF2862F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7</xdr:row>
      <xdr:rowOff>0</xdr:rowOff>
    </xdr:from>
    <xdr:to>
      <xdr:col>11</xdr:col>
      <xdr:colOff>409575</xdr:colOff>
      <xdr:row>7</xdr:row>
      <xdr:rowOff>19050</xdr:rowOff>
    </xdr:to>
    <xdr:pic>
      <xdr:nvPicPr>
        <xdr:cNvPr id="2" name="Picture 100">
          <a:extLst>
            <a:ext uri="{FF2B5EF4-FFF2-40B4-BE49-F238E27FC236}">
              <a16:creationId xmlns:a16="http://schemas.microsoft.com/office/drawing/2014/main" id="{F0D6AF8C-DACC-4F61-B53D-FA9A436DF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33600"/>
          <a:ext cx="95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3" name="Picture 101">
          <a:extLst>
            <a:ext uri="{FF2B5EF4-FFF2-40B4-BE49-F238E27FC236}">
              <a16:creationId xmlns:a16="http://schemas.microsoft.com/office/drawing/2014/main" id="{DFCB692D-C702-4E07-9900-62E4C9D7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28575</xdr:rowOff>
    </xdr:to>
    <xdr:pic>
      <xdr:nvPicPr>
        <xdr:cNvPr id="4" name="Picture 102">
          <a:extLst>
            <a:ext uri="{FF2B5EF4-FFF2-40B4-BE49-F238E27FC236}">
              <a16:creationId xmlns:a16="http://schemas.microsoft.com/office/drawing/2014/main" id="{AA43A074-1B76-41FD-BA9E-1BDA2A8EA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11</xdr:row>
      <xdr:rowOff>9525</xdr:rowOff>
    </xdr:from>
    <xdr:to>
      <xdr:col>0</xdr:col>
      <xdr:colOff>476250</xdr:colOff>
      <xdr:row>11</xdr:row>
      <xdr:rowOff>47625</xdr:rowOff>
    </xdr:to>
    <xdr:pic>
      <xdr:nvPicPr>
        <xdr:cNvPr id="5" name="Picture 104">
          <a:extLst>
            <a:ext uri="{FF2B5EF4-FFF2-40B4-BE49-F238E27FC236}">
              <a16:creationId xmlns:a16="http://schemas.microsoft.com/office/drawing/2014/main" id="{0C7DDFAD-628D-406D-8726-9A838D87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743325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0</xdr:rowOff>
    </xdr:to>
    <xdr:pic>
      <xdr:nvPicPr>
        <xdr:cNvPr id="6" name="Picture 105">
          <a:extLst>
            <a:ext uri="{FF2B5EF4-FFF2-40B4-BE49-F238E27FC236}">
              <a16:creationId xmlns:a16="http://schemas.microsoft.com/office/drawing/2014/main" id="{9A5D6971-7D3A-440F-A925-5A7E24F4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14</xdr:row>
      <xdr:rowOff>0</xdr:rowOff>
    </xdr:from>
    <xdr:to>
      <xdr:col>0</xdr:col>
      <xdr:colOff>476250</xdr:colOff>
      <xdr:row>14</xdr:row>
      <xdr:rowOff>0</xdr:rowOff>
    </xdr:to>
    <xdr:pic>
      <xdr:nvPicPr>
        <xdr:cNvPr id="7" name="Picture 107">
          <a:extLst>
            <a:ext uri="{FF2B5EF4-FFF2-40B4-BE49-F238E27FC236}">
              <a16:creationId xmlns:a16="http://schemas.microsoft.com/office/drawing/2014/main" id="{8EBB17A5-4E2E-4570-9AD6-C55B322AF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305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25</xdr:row>
      <xdr:rowOff>0</xdr:rowOff>
    </xdr:from>
    <xdr:to>
      <xdr:col>0</xdr:col>
      <xdr:colOff>476250</xdr:colOff>
      <xdr:row>25</xdr:row>
      <xdr:rowOff>0</xdr:rowOff>
    </xdr:to>
    <xdr:pic>
      <xdr:nvPicPr>
        <xdr:cNvPr id="8" name="Picture 109">
          <a:extLst>
            <a:ext uri="{FF2B5EF4-FFF2-40B4-BE49-F238E27FC236}">
              <a16:creationId xmlns:a16="http://schemas.microsoft.com/office/drawing/2014/main" id="{21493D4C-D215-48EA-A817-7DDFE3A40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381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28</xdr:row>
      <xdr:rowOff>19050</xdr:rowOff>
    </xdr:from>
    <xdr:to>
      <xdr:col>11</xdr:col>
      <xdr:colOff>409575</xdr:colOff>
      <xdr:row>28</xdr:row>
      <xdr:rowOff>57150</xdr:rowOff>
    </xdr:to>
    <xdr:pic>
      <xdr:nvPicPr>
        <xdr:cNvPr id="9" name="Picture 101">
          <a:extLst>
            <a:ext uri="{FF2B5EF4-FFF2-40B4-BE49-F238E27FC236}">
              <a16:creationId xmlns:a16="http://schemas.microsoft.com/office/drawing/2014/main" id="{B632AA23-1F21-4FB1-98A2-1D0EEFEC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97230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38</xdr:row>
      <xdr:rowOff>0</xdr:rowOff>
    </xdr:from>
    <xdr:to>
      <xdr:col>0</xdr:col>
      <xdr:colOff>476250</xdr:colOff>
      <xdr:row>38</xdr:row>
      <xdr:rowOff>0</xdr:rowOff>
    </xdr:to>
    <xdr:pic>
      <xdr:nvPicPr>
        <xdr:cNvPr id="10" name="Picture 105">
          <a:extLst>
            <a:ext uri="{FF2B5EF4-FFF2-40B4-BE49-F238E27FC236}">
              <a16:creationId xmlns:a16="http://schemas.microsoft.com/office/drawing/2014/main" id="{F3238C55-D62A-4D44-9464-9B160EA8D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38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C1437390-8293-4F29-B723-C50BE118F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2" name="Picture 109">
          <a:extLst>
            <a:ext uri="{FF2B5EF4-FFF2-40B4-BE49-F238E27FC236}">
              <a16:creationId xmlns:a16="http://schemas.microsoft.com/office/drawing/2014/main" id="{D46F585B-A1BD-4669-9EFE-09EC14AC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190501</xdr:rowOff>
    </xdr:from>
    <xdr:to>
      <xdr:col>0</xdr:col>
      <xdr:colOff>1444069</xdr:colOff>
      <xdr:row>0</xdr:row>
      <xdr:rowOff>784226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01B05638-E4C8-44DE-8C30-D667C3086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1"/>
          <a:ext cx="1348819" cy="593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246458</xdr:colOff>
      <xdr:row>0</xdr:row>
      <xdr:rowOff>103583</xdr:rowOff>
    </xdr:from>
    <xdr:to>
      <xdr:col>14</xdr:col>
      <xdr:colOff>406001</xdr:colOff>
      <xdr:row>0</xdr:row>
      <xdr:rowOff>972741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E2116885-2F95-4F42-957B-2E6A42FB7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583" y="103583"/>
          <a:ext cx="1502568" cy="8691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400050</xdr:colOff>
      <xdr:row>8</xdr:row>
      <xdr:rowOff>19050</xdr:rowOff>
    </xdr:from>
    <xdr:to>
      <xdr:col>9</xdr:col>
      <xdr:colOff>409575</xdr:colOff>
      <xdr:row>8</xdr:row>
      <xdr:rowOff>57150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31D43DF8-A27A-42BC-B903-A59FCE3B2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16" name="Picture 101">
          <a:extLst>
            <a:ext uri="{FF2B5EF4-FFF2-40B4-BE49-F238E27FC236}">
              <a16:creationId xmlns:a16="http://schemas.microsoft.com/office/drawing/2014/main" id="{4C9F0D4F-5FB0-4166-9E72-08523A03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7" name="Picture 101">
          <a:extLst>
            <a:ext uri="{FF2B5EF4-FFF2-40B4-BE49-F238E27FC236}">
              <a16:creationId xmlns:a16="http://schemas.microsoft.com/office/drawing/2014/main" id="{1A1CDAF1-C9D4-487D-BFDC-1F8A05924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400050</xdr:colOff>
      <xdr:row>8</xdr:row>
      <xdr:rowOff>19050</xdr:rowOff>
    </xdr:from>
    <xdr:to>
      <xdr:col>8</xdr:col>
      <xdr:colOff>409575</xdr:colOff>
      <xdr:row>8</xdr:row>
      <xdr:rowOff>57150</xdr:rowOff>
    </xdr:to>
    <xdr:pic>
      <xdr:nvPicPr>
        <xdr:cNvPr id="18" name="Picture 101">
          <a:extLst>
            <a:ext uri="{FF2B5EF4-FFF2-40B4-BE49-F238E27FC236}">
              <a16:creationId xmlns:a16="http://schemas.microsoft.com/office/drawing/2014/main" id="{2C775A64-F61C-49F6-ADBC-4B4FC1022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9" name="Picture 101">
          <a:extLst>
            <a:ext uri="{FF2B5EF4-FFF2-40B4-BE49-F238E27FC236}">
              <a16:creationId xmlns:a16="http://schemas.microsoft.com/office/drawing/2014/main" id="{D3C45B5A-497D-4A78-8702-4AA99E23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7</xdr:row>
      <xdr:rowOff>0</xdr:rowOff>
    </xdr:from>
    <xdr:to>
      <xdr:col>11</xdr:col>
      <xdr:colOff>409575</xdr:colOff>
      <xdr:row>7</xdr:row>
      <xdr:rowOff>19050</xdr:rowOff>
    </xdr:to>
    <xdr:pic>
      <xdr:nvPicPr>
        <xdr:cNvPr id="2" name="Picture 100">
          <a:extLst>
            <a:ext uri="{FF2B5EF4-FFF2-40B4-BE49-F238E27FC236}">
              <a16:creationId xmlns:a16="http://schemas.microsoft.com/office/drawing/2014/main" id="{9047640C-D768-4C16-BAF6-4B6F6F3E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33600"/>
          <a:ext cx="95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3" name="Picture 101">
          <a:extLst>
            <a:ext uri="{FF2B5EF4-FFF2-40B4-BE49-F238E27FC236}">
              <a16:creationId xmlns:a16="http://schemas.microsoft.com/office/drawing/2014/main" id="{C008D113-E173-46A9-8043-A5159F07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28575</xdr:rowOff>
    </xdr:to>
    <xdr:pic>
      <xdr:nvPicPr>
        <xdr:cNvPr id="4" name="Picture 102">
          <a:extLst>
            <a:ext uri="{FF2B5EF4-FFF2-40B4-BE49-F238E27FC236}">
              <a16:creationId xmlns:a16="http://schemas.microsoft.com/office/drawing/2014/main" id="{31B7F8A9-D9A1-43ED-8192-F95FFE12E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11</xdr:row>
      <xdr:rowOff>9525</xdr:rowOff>
    </xdr:from>
    <xdr:to>
      <xdr:col>0</xdr:col>
      <xdr:colOff>476250</xdr:colOff>
      <xdr:row>11</xdr:row>
      <xdr:rowOff>47625</xdr:rowOff>
    </xdr:to>
    <xdr:pic>
      <xdr:nvPicPr>
        <xdr:cNvPr id="5" name="Picture 104">
          <a:extLst>
            <a:ext uri="{FF2B5EF4-FFF2-40B4-BE49-F238E27FC236}">
              <a16:creationId xmlns:a16="http://schemas.microsoft.com/office/drawing/2014/main" id="{099806BC-5277-4073-B01F-DDA5591CF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743325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0</xdr:rowOff>
    </xdr:to>
    <xdr:pic>
      <xdr:nvPicPr>
        <xdr:cNvPr id="6" name="Picture 105">
          <a:extLst>
            <a:ext uri="{FF2B5EF4-FFF2-40B4-BE49-F238E27FC236}">
              <a16:creationId xmlns:a16="http://schemas.microsoft.com/office/drawing/2014/main" id="{D8A7CC27-44E8-4DF7-9185-6F93D343B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14</xdr:row>
      <xdr:rowOff>0</xdr:rowOff>
    </xdr:from>
    <xdr:to>
      <xdr:col>0</xdr:col>
      <xdr:colOff>476250</xdr:colOff>
      <xdr:row>14</xdr:row>
      <xdr:rowOff>0</xdr:rowOff>
    </xdr:to>
    <xdr:pic>
      <xdr:nvPicPr>
        <xdr:cNvPr id="7" name="Picture 107">
          <a:extLst>
            <a:ext uri="{FF2B5EF4-FFF2-40B4-BE49-F238E27FC236}">
              <a16:creationId xmlns:a16="http://schemas.microsoft.com/office/drawing/2014/main" id="{F71476CF-3D56-401A-8D2A-BED19AB93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305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25</xdr:row>
      <xdr:rowOff>0</xdr:rowOff>
    </xdr:from>
    <xdr:to>
      <xdr:col>0</xdr:col>
      <xdr:colOff>476250</xdr:colOff>
      <xdr:row>25</xdr:row>
      <xdr:rowOff>0</xdr:rowOff>
    </xdr:to>
    <xdr:pic>
      <xdr:nvPicPr>
        <xdr:cNvPr id="8" name="Picture 109">
          <a:extLst>
            <a:ext uri="{FF2B5EF4-FFF2-40B4-BE49-F238E27FC236}">
              <a16:creationId xmlns:a16="http://schemas.microsoft.com/office/drawing/2014/main" id="{5D99C13B-EE8D-4931-972E-12A690C5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381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28</xdr:row>
      <xdr:rowOff>19050</xdr:rowOff>
    </xdr:from>
    <xdr:to>
      <xdr:col>11</xdr:col>
      <xdr:colOff>409575</xdr:colOff>
      <xdr:row>28</xdr:row>
      <xdr:rowOff>57150</xdr:rowOff>
    </xdr:to>
    <xdr:pic>
      <xdr:nvPicPr>
        <xdr:cNvPr id="9" name="Picture 101">
          <a:extLst>
            <a:ext uri="{FF2B5EF4-FFF2-40B4-BE49-F238E27FC236}">
              <a16:creationId xmlns:a16="http://schemas.microsoft.com/office/drawing/2014/main" id="{7914CC9B-1895-42B2-8710-C74D6249D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97230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38</xdr:row>
      <xdr:rowOff>0</xdr:rowOff>
    </xdr:from>
    <xdr:to>
      <xdr:col>0</xdr:col>
      <xdr:colOff>476250</xdr:colOff>
      <xdr:row>38</xdr:row>
      <xdr:rowOff>0</xdr:rowOff>
    </xdr:to>
    <xdr:pic>
      <xdr:nvPicPr>
        <xdr:cNvPr id="10" name="Picture 105">
          <a:extLst>
            <a:ext uri="{FF2B5EF4-FFF2-40B4-BE49-F238E27FC236}">
              <a16:creationId xmlns:a16="http://schemas.microsoft.com/office/drawing/2014/main" id="{CBC01F5C-A856-4316-8A55-1EF1D6DD9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38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FA83E805-2EA8-439F-B09F-FFB281AE6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2" name="Picture 109">
          <a:extLst>
            <a:ext uri="{FF2B5EF4-FFF2-40B4-BE49-F238E27FC236}">
              <a16:creationId xmlns:a16="http://schemas.microsoft.com/office/drawing/2014/main" id="{A40BB41A-AB3D-4039-B892-CC99E2329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190501</xdr:rowOff>
    </xdr:from>
    <xdr:to>
      <xdr:col>0</xdr:col>
      <xdr:colOff>1444069</xdr:colOff>
      <xdr:row>0</xdr:row>
      <xdr:rowOff>784226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CABE7D80-6305-4E24-8DF3-C8CF82AB4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1"/>
          <a:ext cx="1348819" cy="593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246458</xdr:colOff>
      <xdr:row>0</xdr:row>
      <xdr:rowOff>103583</xdr:rowOff>
    </xdr:from>
    <xdr:to>
      <xdr:col>14</xdr:col>
      <xdr:colOff>406001</xdr:colOff>
      <xdr:row>0</xdr:row>
      <xdr:rowOff>972741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B565E459-5D5A-4E51-9A91-CC2D55D95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583" y="103583"/>
          <a:ext cx="1502568" cy="8691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400050</xdr:colOff>
      <xdr:row>8</xdr:row>
      <xdr:rowOff>19050</xdr:rowOff>
    </xdr:from>
    <xdr:to>
      <xdr:col>9</xdr:col>
      <xdr:colOff>409575</xdr:colOff>
      <xdr:row>8</xdr:row>
      <xdr:rowOff>57150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E2EE8702-C925-45B4-8C20-530B31ED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16" name="Picture 101">
          <a:extLst>
            <a:ext uri="{FF2B5EF4-FFF2-40B4-BE49-F238E27FC236}">
              <a16:creationId xmlns:a16="http://schemas.microsoft.com/office/drawing/2014/main" id="{3BEDA94B-A458-48E6-915A-3537F1D26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7" name="Picture 101">
          <a:extLst>
            <a:ext uri="{FF2B5EF4-FFF2-40B4-BE49-F238E27FC236}">
              <a16:creationId xmlns:a16="http://schemas.microsoft.com/office/drawing/2014/main" id="{290C8667-22D0-4E69-BA1B-47284E3BE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400050</xdr:colOff>
      <xdr:row>8</xdr:row>
      <xdr:rowOff>19050</xdr:rowOff>
    </xdr:from>
    <xdr:to>
      <xdr:col>8</xdr:col>
      <xdr:colOff>409575</xdr:colOff>
      <xdr:row>8</xdr:row>
      <xdr:rowOff>57150</xdr:rowOff>
    </xdr:to>
    <xdr:pic>
      <xdr:nvPicPr>
        <xdr:cNvPr id="18" name="Picture 101">
          <a:extLst>
            <a:ext uri="{FF2B5EF4-FFF2-40B4-BE49-F238E27FC236}">
              <a16:creationId xmlns:a16="http://schemas.microsoft.com/office/drawing/2014/main" id="{93BE1210-0877-4502-9E9E-79038866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9" name="Picture 101">
          <a:extLst>
            <a:ext uri="{FF2B5EF4-FFF2-40B4-BE49-F238E27FC236}">
              <a16:creationId xmlns:a16="http://schemas.microsoft.com/office/drawing/2014/main" id="{BEBE9CC5-5B3A-49EC-80F8-BD7C6CA69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7</xdr:row>
      <xdr:rowOff>0</xdr:rowOff>
    </xdr:from>
    <xdr:to>
      <xdr:col>11</xdr:col>
      <xdr:colOff>409575</xdr:colOff>
      <xdr:row>7</xdr:row>
      <xdr:rowOff>19050</xdr:rowOff>
    </xdr:to>
    <xdr:pic>
      <xdr:nvPicPr>
        <xdr:cNvPr id="2" name="Picture 100">
          <a:extLst>
            <a:ext uri="{FF2B5EF4-FFF2-40B4-BE49-F238E27FC236}">
              <a16:creationId xmlns:a16="http://schemas.microsoft.com/office/drawing/2014/main" id="{5F9FA7F7-8FD6-4109-A17C-C5F4DEBB7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33600"/>
          <a:ext cx="95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3" name="Picture 101">
          <a:extLst>
            <a:ext uri="{FF2B5EF4-FFF2-40B4-BE49-F238E27FC236}">
              <a16:creationId xmlns:a16="http://schemas.microsoft.com/office/drawing/2014/main" id="{583B771F-FAB0-4610-ACDB-2E820DF3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28575</xdr:rowOff>
    </xdr:to>
    <xdr:pic>
      <xdr:nvPicPr>
        <xdr:cNvPr id="4" name="Picture 102">
          <a:extLst>
            <a:ext uri="{FF2B5EF4-FFF2-40B4-BE49-F238E27FC236}">
              <a16:creationId xmlns:a16="http://schemas.microsoft.com/office/drawing/2014/main" id="{CB68DCD3-F617-441A-9F8E-19D31D7C7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11</xdr:row>
      <xdr:rowOff>9525</xdr:rowOff>
    </xdr:from>
    <xdr:to>
      <xdr:col>0</xdr:col>
      <xdr:colOff>476250</xdr:colOff>
      <xdr:row>11</xdr:row>
      <xdr:rowOff>47625</xdr:rowOff>
    </xdr:to>
    <xdr:pic>
      <xdr:nvPicPr>
        <xdr:cNvPr id="5" name="Picture 104">
          <a:extLst>
            <a:ext uri="{FF2B5EF4-FFF2-40B4-BE49-F238E27FC236}">
              <a16:creationId xmlns:a16="http://schemas.microsoft.com/office/drawing/2014/main" id="{F15A1AAA-A730-4EC1-A92B-F1DA4535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743325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0</xdr:rowOff>
    </xdr:to>
    <xdr:pic>
      <xdr:nvPicPr>
        <xdr:cNvPr id="6" name="Picture 105">
          <a:extLst>
            <a:ext uri="{FF2B5EF4-FFF2-40B4-BE49-F238E27FC236}">
              <a16:creationId xmlns:a16="http://schemas.microsoft.com/office/drawing/2014/main" id="{23F3915C-EAA6-45AC-ADE9-B6DAC5DCA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14</xdr:row>
      <xdr:rowOff>0</xdr:rowOff>
    </xdr:from>
    <xdr:to>
      <xdr:col>0</xdr:col>
      <xdr:colOff>476250</xdr:colOff>
      <xdr:row>14</xdr:row>
      <xdr:rowOff>0</xdr:rowOff>
    </xdr:to>
    <xdr:pic>
      <xdr:nvPicPr>
        <xdr:cNvPr id="7" name="Picture 107">
          <a:extLst>
            <a:ext uri="{FF2B5EF4-FFF2-40B4-BE49-F238E27FC236}">
              <a16:creationId xmlns:a16="http://schemas.microsoft.com/office/drawing/2014/main" id="{B9F90C44-54B1-4484-9002-5440723D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305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25</xdr:row>
      <xdr:rowOff>0</xdr:rowOff>
    </xdr:from>
    <xdr:to>
      <xdr:col>0</xdr:col>
      <xdr:colOff>476250</xdr:colOff>
      <xdr:row>25</xdr:row>
      <xdr:rowOff>0</xdr:rowOff>
    </xdr:to>
    <xdr:pic>
      <xdr:nvPicPr>
        <xdr:cNvPr id="8" name="Picture 109">
          <a:extLst>
            <a:ext uri="{FF2B5EF4-FFF2-40B4-BE49-F238E27FC236}">
              <a16:creationId xmlns:a16="http://schemas.microsoft.com/office/drawing/2014/main" id="{2CA67F29-F8F6-4BA5-909E-1CF0D3E3E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381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28</xdr:row>
      <xdr:rowOff>19050</xdr:rowOff>
    </xdr:from>
    <xdr:to>
      <xdr:col>11</xdr:col>
      <xdr:colOff>409575</xdr:colOff>
      <xdr:row>28</xdr:row>
      <xdr:rowOff>57150</xdr:rowOff>
    </xdr:to>
    <xdr:pic>
      <xdr:nvPicPr>
        <xdr:cNvPr id="9" name="Picture 101">
          <a:extLst>
            <a:ext uri="{FF2B5EF4-FFF2-40B4-BE49-F238E27FC236}">
              <a16:creationId xmlns:a16="http://schemas.microsoft.com/office/drawing/2014/main" id="{9365F135-06C6-4EFF-B3EC-7CD940255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97230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38</xdr:row>
      <xdr:rowOff>0</xdr:rowOff>
    </xdr:from>
    <xdr:to>
      <xdr:col>0</xdr:col>
      <xdr:colOff>476250</xdr:colOff>
      <xdr:row>38</xdr:row>
      <xdr:rowOff>0</xdr:rowOff>
    </xdr:to>
    <xdr:pic>
      <xdr:nvPicPr>
        <xdr:cNvPr id="10" name="Picture 105">
          <a:extLst>
            <a:ext uri="{FF2B5EF4-FFF2-40B4-BE49-F238E27FC236}">
              <a16:creationId xmlns:a16="http://schemas.microsoft.com/office/drawing/2014/main" id="{980B503A-4049-4AE8-82EA-BAE389903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38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163FC531-4EF6-4998-AF78-CEDBBA492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2" name="Picture 109">
          <a:extLst>
            <a:ext uri="{FF2B5EF4-FFF2-40B4-BE49-F238E27FC236}">
              <a16:creationId xmlns:a16="http://schemas.microsoft.com/office/drawing/2014/main" id="{C6D6A2A5-AECE-488A-8474-9FC41E31D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190501</xdr:rowOff>
    </xdr:from>
    <xdr:to>
      <xdr:col>0</xdr:col>
      <xdr:colOff>1444069</xdr:colOff>
      <xdr:row>0</xdr:row>
      <xdr:rowOff>784226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2586BA6F-B3CC-4618-A26B-4DE3C4910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1"/>
          <a:ext cx="1348819" cy="593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246458</xdr:colOff>
      <xdr:row>0</xdr:row>
      <xdr:rowOff>103583</xdr:rowOff>
    </xdr:from>
    <xdr:to>
      <xdr:col>14</xdr:col>
      <xdr:colOff>406001</xdr:colOff>
      <xdr:row>0</xdr:row>
      <xdr:rowOff>972741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35C5B178-6F8C-49E5-A978-C15279D8B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583" y="103583"/>
          <a:ext cx="1502568" cy="8691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400050</xdr:colOff>
      <xdr:row>8</xdr:row>
      <xdr:rowOff>19050</xdr:rowOff>
    </xdr:from>
    <xdr:to>
      <xdr:col>9</xdr:col>
      <xdr:colOff>409575</xdr:colOff>
      <xdr:row>8</xdr:row>
      <xdr:rowOff>57150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93C859C9-19DA-41A2-9174-FD0504F55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16" name="Picture 101">
          <a:extLst>
            <a:ext uri="{FF2B5EF4-FFF2-40B4-BE49-F238E27FC236}">
              <a16:creationId xmlns:a16="http://schemas.microsoft.com/office/drawing/2014/main" id="{AE7A7809-40C5-4B1B-9464-4F352A023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7" name="Picture 101">
          <a:extLst>
            <a:ext uri="{FF2B5EF4-FFF2-40B4-BE49-F238E27FC236}">
              <a16:creationId xmlns:a16="http://schemas.microsoft.com/office/drawing/2014/main" id="{91C9A33C-D733-4948-8602-21B369997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400050</xdr:colOff>
      <xdr:row>8</xdr:row>
      <xdr:rowOff>19050</xdr:rowOff>
    </xdr:from>
    <xdr:to>
      <xdr:col>8</xdr:col>
      <xdr:colOff>409575</xdr:colOff>
      <xdr:row>8</xdr:row>
      <xdr:rowOff>57150</xdr:rowOff>
    </xdr:to>
    <xdr:pic>
      <xdr:nvPicPr>
        <xdr:cNvPr id="18" name="Picture 101">
          <a:extLst>
            <a:ext uri="{FF2B5EF4-FFF2-40B4-BE49-F238E27FC236}">
              <a16:creationId xmlns:a16="http://schemas.microsoft.com/office/drawing/2014/main" id="{EB034F15-9C55-46B5-8CF3-6EE6722F6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9" name="Picture 101">
          <a:extLst>
            <a:ext uri="{FF2B5EF4-FFF2-40B4-BE49-F238E27FC236}">
              <a16:creationId xmlns:a16="http://schemas.microsoft.com/office/drawing/2014/main" id="{8B8DC421-DD6F-4D04-8BA6-3B64AC6AD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7</xdr:row>
      <xdr:rowOff>0</xdr:rowOff>
    </xdr:from>
    <xdr:to>
      <xdr:col>11</xdr:col>
      <xdr:colOff>409575</xdr:colOff>
      <xdr:row>7</xdr:row>
      <xdr:rowOff>19050</xdr:rowOff>
    </xdr:to>
    <xdr:pic>
      <xdr:nvPicPr>
        <xdr:cNvPr id="2" name="Picture 100">
          <a:extLst>
            <a:ext uri="{FF2B5EF4-FFF2-40B4-BE49-F238E27FC236}">
              <a16:creationId xmlns:a16="http://schemas.microsoft.com/office/drawing/2014/main" id="{2E3392F6-E6CE-4F92-A7D6-AA0F982A7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33600"/>
          <a:ext cx="95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3" name="Picture 101">
          <a:extLst>
            <a:ext uri="{FF2B5EF4-FFF2-40B4-BE49-F238E27FC236}">
              <a16:creationId xmlns:a16="http://schemas.microsoft.com/office/drawing/2014/main" id="{52D25CC3-C32F-499B-944D-B3644C6A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28575</xdr:rowOff>
    </xdr:to>
    <xdr:pic>
      <xdr:nvPicPr>
        <xdr:cNvPr id="4" name="Picture 102">
          <a:extLst>
            <a:ext uri="{FF2B5EF4-FFF2-40B4-BE49-F238E27FC236}">
              <a16:creationId xmlns:a16="http://schemas.microsoft.com/office/drawing/2014/main" id="{D022D55C-7F76-47E9-B109-E1DF38DF1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11</xdr:row>
      <xdr:rowOff>9525</xdr:rowOff>
    </xdr:from>
    <xdr:to>
      <xdr:col>0</xdr:col>
      <xdr:colOff>476250</xdr:colOff>
      <xdr:row>11</xdr:row>
      <xdr:rowOff>47625</xdr:rowOff>
    </xdr:to>
    <xdr:pic>
      <xdr:nvPicPr>
        <xdr:cNvPr id="5" name="Picture 104">
          <a:extLst>
            <a:ext uri="{FF2B5EF4-FFF2-40B4-BE49-F238E27FC236}">
              <a16:creationId xmlns:a16="http://schemas.microsoft.com/office/drawing/2014/main" id="{DCE10E0D-F650-4BFD-B791-CFD6E294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743325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0</xdr:rowOff>
    </xdr:to>
    <xdr:pic>
      <xdr:nvPicPr>
        <xdr:cNvPr id="6" name="Picture 105">
          <a:extLst>
            <a:ext uri="{FF2B5EF4-FFF2-40B4-BE49-F238E27FC236}">
              <a16:creationId xmlns:a16="http://schemas.microsoft.com/office/drawing/2014/main" id="{4ECE358A-C9DC-472D-91BB-F55CAE006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14</xdr:row>
      <xdr:rowOff>0</xdr:rowOff>
    </xdr:from>
    <xdr:to>
      <xdr:col>0</xdr:col>
      <xdr:colOff>476250</xdr:colOff>
      <xdr:row>14</xdr:row>
      <xdr:rowOff>0</xdr:rowOff>
    </xdr:to>
    <xdr:pic>
      <xdr:nvPicPr>
        <xdr:cNvPr id="7" name="Picture 107">
          <a:extLst>
            <a:ext uri="{FF2B5EF4-FFF2-40B4-BE49-F238E27FC236}">
              <a16:creationId xmlns:a16="http://schemas.microsoft.com/office/drawing/2014/main" id="{35E29ADC-64C0-4D6C-9227-292F95AB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305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25</xdr:row>
      <xdr:rowOff>0</xdr:rowOff>
    </xdr:from>
    <xdr:to>
      <xdr:col>0</xdr:col>
      <xdr:colOff>476250</xdr:colOff>
      <xdr:row>25</xdr:row>
      <xdr:rowOff>0</xdr:rowOff>
    </xdr:to>
    <xdr:pic>
      <xdr:nvPicPr>
        <xdr:cNvPr id="8" name="Picture 109">
          <a:extLst>
            <a:ext uri="{FF2B5EF4-FFF2-40B4-BE49-F238E27FC236}">
              <a16:creationId xmlns:a16="http://schemas.microsoft.com/office/drawing/2014/main" id="{B3576A46-BDB2-4886-90C2-2EA585FC3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381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28</xdr:row>
      <xdr:rowOff>19050</xdr:rowOff>
    </xdr:from>
    <xdr:to>
      <xdr:col>11</xdr:col>
      <xdr:colOff>409575</xdr:colOff>
      <xdr:row>28</xdr:row>
      <xdr:rowOff>57150</xdr:rowOff>
    </xdr:to>
    <xdr:pic>
      <xdr:nvPicPr>
        <xdr:cNvPr id="9" name="Picture 101">
          <a:extLst>
            <a:ext uri="{FF2B5EF4-FFF2-40B4-BE49-F238E27FC236}">
              <a16:creationId xmlns:a16="http://schemas.microsoft.com/office/drawing/2014/main" id="{E1BE6B26-3D82-4E7D-9334-847ECF5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97230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38</xdr:row>
      <xdr:rowOff>0</xdr:rowOff>
    </xdr:from>
    <xdr:to>
      <xdr:col>0</xdr:col>
      <xdr:colOff>476250</xdr:colOff>
      <xdr:row>38</xdr:row>
      <xdr:rowOff>0</xdr:rowOff>
    </xdr:to>
    <xdr:pic>
      <xdr:nvPicPr>
        <xdr:cNvPr id="10" name="Picture 105">
          <a:extLst>
            <a:ext uri="{FF2B5EF4-FFF2-40B4-BE49-F238E27FC236}">
              <a16:creationId xmlns:a16="http://schemas.microsoft.com/office/drawing/2014/main" id="{AD504A7B-B2BC-4A84-80B3-E3DD8C0D7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38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AB579671-8DEA-47D6-9369-33E9D042A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2" name="Picture 109">
          <a:extLst>
            <a:ext uri="{FF2B5EF4-FFF2-40B4-BE49-F238E27FC236}">
              <a16:creationId xmlns:a16="http://schemas.microsoft.com/office/drawing/2014/main" id="{C7865D12-FDA8-47C9-A161-C0A20097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190501</xdr:rowOff>
    </xdr:from>
    <xdr:to>
      <xdr:col>0</xdr:col>
      <xdr:colOff>1444069</xdr:colOff>
      <xdr:row>0</xdr:row>
      <xdr:rowOff>784226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984EEC51-CB37-41FD-9DA0-30A61EF1E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1"/>
          <a:ext cx="1348819" cy="593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246458</xdr:colOff>
      <xdr:row>0</xdr:row>
      <xdr:rowOff>103583</xdr:rowOff>
    </xdr:from>
    <xdr:to>
      <xdr:col>14</xdr:col>
      <xdr:colOff>406001</xdr:colOff>
      <xdr:row>0</xdr:row>
      <xdr:rowOff>972741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F82B8C56-AFC7-4277-AD54-330CE8805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583" y="103583"/>
          <a:ext cx="1502568" cy="8691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400050</xdr:colOff>
      <xdr:row>8</xdr:row>
      <xdr:rowOff>19050</xdr:rowOff>
    </xdr:from>
    <xdr:to>
      <xdr:col>9</xdr:col>
      <xdr:colOff>409575</xdr:colOff>
      <xdr:row>8</xdr:row>
      <xdr:rowOff>57150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A814C59D-6683-4A0E-B1E6-E30F94653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16" name="Picture 101">
          <a:extLst>
            <a:ext uri="{FF2B5EF4-FFF2-40B4-BE49-F238E27FC236}">
              <a16:creationId xmlns:a16="http://schemas.microsoft.com/office/drawing/2014/main" id="{E21A077A-E098-4103-836C-A682D3D8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7" name="Picture 101">
          <a:extLst>
            <a:ext uri="{FF2B5EF4-FFF2-40B4-BE49-F238E27FC236}">
              <a16:creationId xmlns:a16="http://schemas.microsoft.com/office/drawing/2014/main" id="{5B88DFC7-6370-4388-BEC2-CDD54AE28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400050</xdr:colOff>
      <xdr:row>8</xdr:row>
      <xdr:rowOff>19050</xdr:rowOff>
    </xdr:from>
    <xdr:to>
      <xdr:col>8</xdr:col>
      <xdr:colOff>409575</xdr:colOff>
      <xdr:row>8</xdr:row>
      <xdr:rowOff>57150</xdr:rowOff>
    </xdr:to>
    <xdr:pic>
      <xdr:nvPicPr>
        <xdr:cNvPr id="18" name="Picture 101">
          <a:extLst>
            <a:ext uri="{FF2B5EF4-FFF2-40B4-BE49-F238E27FC236}">
              <a16:creationId xmlns:a16="http://schemas.microsoft.com/office/drawing/2014/main" id="{215CEDEA-0CD4-4EC1-B5FE-CF23A04C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9" name="Picture 101">
          <a:extLst>
            <a:ext uri="{FF2B5EF4-FFF2-40B4-BE49-F238E27FC236}">
              <a16:creationId xmlns:a16="http://schemas.microsoft.com/office/drawing/2014/main" id="{515227B4-3CCE-4158-8394-069593AB2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7</xdr:row>
      <xdr:rowOff>0</xdr:rowOff>
    </xdr:from>
    <xdr:to>
      <xdr:col>11</xdr:col>
      <xdr:colOff>409575</xdr:colOff>
      <xdr:row>7</xdr:row>
      <xdr:rowOff>19050</xdr:rowOff>
    </xdr:to>
    <xdr:pic>
      <xdr:nvPicPr>
        <xdr:cNvPr id="2" name="Picture 100">
          <a:extLst>
            <a:ext uri="{FF2B5EF4-FFF2-40B4-BE49-F238E27FC236}">
              <a16:creationId xmlns:a16="http://schemas.microsoft.com/office/drawing/2014/main" id="{4DE9B377-0D2A-4AFF-87B4-B466864D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33600"/>
          <a:ext cx="95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3" name="Picture 101">
          <a:extLst>
            <a:ext uri="{FF2B5EF4-FFF2-40B4-BE49-F238E27FC236}">
              <a16:creationId xmlns:a16="http://schemas.microsoft.com/office/drawing/2014/main" id="{FBCBAA1C-4418-425E-BA42-27BE47EB9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28575</xdr:rowOff>
    </xdr:to>
    <xdr:pic>
      <xdr:nvPicPr>
        <xdr:cNvPr id="4" name="Picture 102">
          <a:extLst>
            <a:ext uri="{FF2B5EF4-FFF2-40B4-BE49-F238E27FC236}">
              <a16:creationId xmlns:a16="http://schemas.microsoft.com/office/drawing/2014/main" id="{E879BBAB-2C8B-4FEA-BB8C-447B7E9D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11</xdr:row>
      <xdr:rowOff>9525</xdr:rowOff>
    </xdr:from>
    <xdr:to>
      <xdr:col>0</xdr:col>
      <xdr:colOff>476250</xdr:colOff>
      <xdr:row>11</xdr:row>
      <xdr:rowOff>47625</xdr:rowOff>
    </xdr:to>
    <xdr:pic>
      <xdr:nvPicPr>
        <xdr:cNvPr id="5" name="Picture 104">
          <a:extLst>
            <a:ext uri="{FF2B5EF4-FFF2-40B4-BE49-F238E27FC236}">
              <a16:creationId xmlns:a16="http://schemas.microsoft.com/office/drawing/2014/main" id="{87A0362B-D9C8-4CBA-88EA-2C695FBBD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743325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12</xdr:row>
      <xdr:rowOff>0</xdr:rowOff>
    </xdr:from>
    <xdr:to>
      <xdr:col>0</xdr:col>
      <xdr:colOff>476250</xdr:colOff>
      <xdr:row>12</xdr:row>
      <xdr:rowOff>0</xdr:rowOff>
    </xdr:to>
    <xdr:pic>
      <xdr:nvPicPr>
        <xdr:cNvPr id="6" name="Picture 105">
          <a:extLst>
            <a:ext uri="{FF2B5EF4-FFF2-40B4-BE49-F238E27FC236}">
              <a16:creationId xmlns:a16="http://schemas.microsoft.com/office/drawing/2014/main" id="{D361A129-BF13-4470-9049-822147BA9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92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14</xdr:row>
      <xdr:rowOff>0</xdr:rowOff>
    </xdr:from>
    <xdr:to>
      <xdr:col>0</xdr:col>
      <xdr:colOff>476250</xdr:colOff>
      <xdr:row>14</xdr:row>
      <xdr:rowOff>0</xdr:rowOff>
    </xdr:to>
    <xdr:pic>
      <xdr:nvPicPr>
        <xdr:cNvPr id="7" name="Picture 107">
          <a:extLst>
            <a:ext uri="{FF2B5EF4-FFF2-40B4-BE49-F238E27FC236}">
              <a16:creationId xmlns:a16="http://schemas.microsoft.com/office/drawing/2014/main" id="{329AF115-1D42-4DEC-8193-F22E2FBFF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305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25</xdr:row>
      <xdr:rowOff>0</xdr:rowOff>
    </xdr:from>
    <xdr:to>
      <xdr:col>0</xdr:col>
      <xdr:colOff>476250</xdr:colOff>
      <xdr:row>25</xdr:row>
      <xdr:rowOff>0</xdr:rowOff>
    </xdr:to>
    <xdr:pic>
      <xdr:nvPicPr>
        <xdr:cNvPr id="8" name="Picture 109">
          <a:extLst>
            <a:ext uri="{FF2B5EF4-FFF2-40B4-BE49-F238E27FC236}">
              <a16:creationId xmlns:a16="http://schemas.microsoft.com/office/drawing/2014/main" id="{A83549D0-3B8E-476F-82F1-192C08B0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381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28</xdr:row>
      <xdr:rowOff>19050</xdr:rowOff>
    </xdr:from>
    <xdr:to>
      <xdr:col>11</xdr:col>
      <xdr:colOff>409575</xdr:colOff>
      <xdr:row>28</xdr:row>
      <xdr:rowOff>57150</xdr:rowOff>
    </xdr:to>
    <xdr:pic>
      <xdr:nvPicPr>
        <xdr:cNvPr id="9" name="Picture 101">
          <a:extLst>
            <a:ext uri="{FF2B5EF4-FFF2-40B4-BE49-F238E27FC236}">
              <a16:creationId xmlns:a16="http://schemas.microsoft.com/office/drawing/2014/main" id="{37CAF44A-C57C-4F8B-87F4-FA3272AF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97230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38</xdr:row>
      <xdr:rowOff>0</xdr:rowOff>
    </xdr:from>
    <xdr:to>
      <xdr:col>0</xdr:col>
      <xdr:colOff>476250</xdr:colOff>
      <xdr:row>38</xdr:row>
      <xdr:rowOff>0</xdr:rowOff>
    </xdr:to>
    <xdr:pic>
      <xdr:nvPicPr>
        <xdr:cNvPr id="10" name="Picture 105">
          <a:extLst>
            <a:ext uri="{FF2B5EF4-FFF2-40B4-BE49-F238E27FC236}">
              <a16:creationId xmlns:a16="http://schemas.microsoft.com/office/drawing/2014/main" id="{E3347A45-BF62-42FE-A5A1-D12FCFED6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38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0059E9FA-B0DA-4B8B-A0A9-EF9B18487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40</xdr:row>
      <xdr:rowOff>0</xdr:rowOff>
    </xdr:from>
    <xdr:to>
      <xdr:col>0</xdr:col>
      <xdr:colOff>476250</xdr:colOff>
      <xdr:row>40</xdr:row>
      <xdr:rowOff>0</xdr:rowOff>
    </xdr:to>
    <xdr:pic>
      <xdr:nvPicPr>
        <xdr:cNvPr id="12" name="Picture 109">
          <a:extLst>
            <a:ext uri="{FF2B5EF4-FFF2-40B4-BE49-F238E27FC236}">
              <a16:creationId xmlns:a16="http://schemas.microsoft.com/office/drawing/2014/main" id="{8EB2D46C-1271-4B76-9DC2-AAAF71A9E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782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190501</xdr:rowOff>
    </xdr:from>
    <xdr:to>
      <xdr:col>0</xdr:col>
      <xdr:colOff>1444069</xdr:colOff>
      <xdr:row>0</xdr:row>
      <xdr:rowOff>784226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79D6F916-D27F-4AE6-9AFF-5D56EAFB1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1"/>
          <a:ext cx="1348819" cy="593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246458</xdr:colOff>
      <xdr:row>0</xdr:row>
      <xdr:rowOff>103583</xdr:rowOff>
    </xdr:from>
    <xdr:to>
      <xdr:col>14</xdr:col>
      <xdr:colOff>406001</xdr:colOff>
      <xdr:row>0</xdr:row>
      <xdr:rowOff>972741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24E92AC2-FC2F-48CB-A350-3D8E07C0D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583" y="103583"/>
          <a:ext cx="1502568" cy="8691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400050</xdr:colOff>
      <xdr:row>8</xdr:row>
      <xdr:rowOff>19050</xdr:rowOff>
    </xdr:from>
    <xdr:to>
      <xdr:col>9</xdr:col>
      <xdr:colOff>409575</xdr:colOff>
      <xdr:row>8</xdr:row>
      <xdr:rowOff>57150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5804B3AE-5556-479A-A10C-E1AC8D153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8</xdr:row>
      <xdr:rowOff>19050</xdr:rowOff>
    </xdr:from>
    <xdr:to>
      <xdr:col>11</xdr:col>
      <xdr:colOff>409575</xdr:colOff>
      <xdr:row>8</xdr:row>
      <xdr:rowOff>57150</xdr:rowOff>
    </xdr:to>
    <xdr:pic>
      <xdr:nvPicPr>
        <xdr:cNvPr id="16" name="Picture 101">
          <a:extLst>
            <a:ext uri="{FF2B5EF4-FFF2-40B4-BE49-F238E27FC236}">
              <a16:creationId xmlns:a16="http://schemas.microsoft.com/office/drawing/2014/main" id="{C5AF80F1-332E-4FCC-989D-4C89D3496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7" name="Picture 101">
          <a:extLst>
            <a:ext uri="{FF2B5EF4-FFF2-40B4-BE49-F238E27FC236}">
              <a16:creationId xmlns:a16="http://schemas.microsoft.com/office/drawing/2014/main" id="{00B6665A-E27D-4A43-A717-66C745765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400050</xdr:colOff>
      <xdr:row>8</xdr:row>
      <xdr:rowOff>19050</xdr:rowOff>
    </xdr:from>
    <xdr:to>
      <xdr:col>8</xdr:col>
      <xdr:colOff>409575</xdr:colOff>
      <xdr:row>8</xdr:row>
      <xdr:rowOff>57150</xdr:rowOff>
    </xdr:to>
    <xdr:pic>
      <xdr:nvPicPr>
        <xdr:cNvPr id="18" name="Picture 101">
          <a:extLst>
            <a:ext uri="{FF2B5EF4-FFF2-40B4-BE49-F238E27FC236}">
              <a16:creationId xmlns:a16="http://schemas.microsoft.com/office/drawing/2014/main" id="{F4FCE20E-C51A-473F-AFD2-627B8A6DE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400050</xdr:colOff>
      <xdr:row>8</xdr:row>
      <xdr:rowOff>19050</xdr:rowOff>
    </xdr:from>
    <xdr:to>
      <xdr:col>10</xdr:col>
      <xdr:colOff>409575</xdr:colOff>
      <xdr:row>8</xdr:row>
      <xdr:rowOff>57150</xdr:rowOff>
    </xdr:to>
    <xdr:pic>
      <xdr:nvPicPr>
        <xdr:cNvPr id="19" name="Picture 101">
          <a:extLst>
            <a:ext uri="{FF2B5EF4-FFF2-40B4-BE49-F238E27FC236}">
              <a16:creationId xmlns:a16="http://schemas.microsoft.com/office/drawing/2014/main" id="{295300CC-EE11-4338-BEA0-DA247CF6D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343150"/>
          <a:ext cx="952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pacontroll-my.sharepoint.com/Users/Damian%20Majka/Dropbox/D.M/Nauka/Narz&#281;dzia/0%20Professional%20Excel%20Pack/Portfolio%20Management/PPM06%20Project%20Portfolio%20Management%20Template%20-%20Advanc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pacontroll-my.sharepoint.com/DRAWINGS/wrkk/01_Auftr&#228;ge_SKG/30015aktl_Przyjazn%20II/BGR%20109/Stuecklisten/St30015-109-005_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pacontroll-my.sharepoint.com/Users/Damian%20Majka/Dropbox/M&#243;j%20komputer%20(DamianMajka)/Desktop/Frankfurt/Zarz&#261;dzanie/Zarz&#261;dzanie/Zarz&#261;dzanie%20nowy%20(version%20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pacontroll-my.sharepoint.com/Users/Damian%20Majka/Downloads/tf02930020_win32%20(1).xlt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pacontroll-my.sharepoint.com/Users/Damian%20Majka/Desktop/prze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7-June-2015\Premium%20Templates\V8\Project%20Plan%20v8\Old\PPV8\ANALYSISTABS%20-%20Project%20Timesheet%20_%20FinalV2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7-June-2015\Premium%20Templates\V8\PMT%20V8New\v8\PMTV8_Excel\Project%20Plan%20&amp;%20Portfolio\ANALYSISTABS%20Advanced%20Project%20Plan%20Portfolio%20Template_v7o22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pacontroll-my.sharepoint.com/Users/Damian%20Majka/Dropbox/Nadz&#243;r/Nadz&#243;r%20projektu/QA_QC/Zadania%20-%20QA_QC%20&#8212;%20Frankfur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Help"/>
      <sheetName val="Executive Dashboard"/>
      <sheetName val="Portfolio Dashboard"/>
      <sheetName val="Project Dashboard"/>
      <sheetName val="Resource Dashboard"/>
      <sheetName val="Gantt"/>
      <sheetName val="Resource Management"/>
      <sheetName val="Client Management"/>
      <sheetName val="Portfolio Management"/>
      <sheetName val="Project Management"/>
      <sheetName val="Task Management"/>
      <sheetName val="Risk and Issue Management"/>
      <sheetName val="Invoice Manager"/>
      <sheetName val="Expenses (Billable)"/>
      <sheetName val="Holidays"/>
      <sheetName val="Lists"/>
      <sheetName val="Template Options"/>
      <sheetName val="Executive Dashboard_Calc"/>
      <sheetName val="Portfolio Dashboard_Calc"/>
      <sheetName val="Project Dashboard_Calc"/>
      <sheetName val="Resource Dashboard_Calc"/>
      <sheetName val="Gantt Calculations"/>
      <sheetName val="PPM06 Project Portfolio Manag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ückliste"/>
      <sheetName val="Beispielstückliste"/>
      <sheetName val="Gültigkeit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DANIA ZESPÓŁ (2)"/>
      <sheetName val="HAR.DZIENNY MÓJ"/>
      <sheetName val="WAŻNE ZADANIE"/>
      <sheetName val="Spoiny negatywne"/>
      <sheetName val="Oś czasu projektu"/>
      <sheetName val="Planner harmonogramu tygodnia"/>
      <sheetName val="Pakiet prac"/>
      <sheetName val="HAR.DZIENNY - Z ZESPOŁEM"/>
      <sheetName val="Terminarz projektu"/>
      <sheetName val="Nadzór"/>
      <sheetName val="Delegowanie rev.1"/>
      <sheetName val="ZADANIA ZESPÓŁ"/>
      <sheetName val="informacyjne + zakres"/>
      <sheetName val="SPP"/>
      <sheetName val="PLAN DZIAŁANIA"/>
      <sheetName val="Arkusz2"/>
      <sheetName val="Front robót"/>
      <sheetName val="Braki montażowe"/>
      <sheetName val="Delegowanie prac"/>
      <sheetName val="Rejestr spoin"/>
      <sheetName val="Wytyczne"/>
      <sheetName val="Plan wdrożenia"/>
      <sheetName val="Analiza PKiB"/>
      <sheetName val="Macierz odpowiedzialności"/>
      <sheetName val="CELE"/>
      <sheetName val="Analiza ryzyka"/>
      <sheetName val="Usprawnienia"/>
      <sheetName val="ZADANIA"/>
      <sheetName val="Cykl życia projektu"/>
      <sheetName val="Dostępność zespołu"/>
      <sheetName val="Arkusz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monogram"/>
      <sheetName val="Wprowadzanie danych"/>
      <sheetName val="Odnośnik nazwy"/>
      <sheetName val="tf02930020_win32 (1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dzień 1"/>
      <sheetName val="Konfiguracja priorytetów zadań"/>
      <sheetName val="przer"/>
    </sheetNames>
    <sheetDataSet>
      <sheetData sheetId="0"/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heet1"/>
      <sheetName val="Projects"/>
      <sheetName val="Data Entry"/>
      <sheetName val="Time Logs"/>
      <sheetName val="Invoices"/>
      <sheetName val="Expenses (Billable)"/>
      <sheetName val="Equipment (Billable)"/>
      <sheetName val="Expenses (NonBillable)"/>
      <sheetName val="HeatMaps"/>
      <sheetName val="Weekly Timesheet"/>
      <sheetName val="Monthly Timesheet"/>
      <sheetName val="Employees"/>
      <sheetName val="Lists"/>
      <sheetName val="Template Options"/>
      <sheetName val="AppDebug"/>
      <sheetName val="ToolCal"/>
      <sheetName val="ANALYSISTABS - Project Timeshe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Template Options"/>
      <sheetName val="Data Sheet"/>
      <sheetName val="To-do List"/>
      <sheetName val="Risks &amp; Issue Log"/>
      <sheetName val="Lists"/>
      <sheetName val="Calculations"/>
      <sheetName val="AppMan"/>
      <sheetName val="AppMan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ZIENNY"/>
      <sheetName val="STQ"/>
      <sheetName val="CELE"/>
      <sheetName val="Nadzór"/>
      <sheetName val="PODZIAŁ"/>
      <sheetName val="PODZIAŁ Frankfurt"/>
      <sheetName val="Zadania"/>
      <sheetName val="TYGODNIOWY PLAN"/>
      <sheetName val="PLAN DZIAŁANIA"/>
      <sheetName val="DZIENNY A4"/>
      <sheetName val="Kontak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4827-6FAD-41B7-9E2D-0553D4DC0481}">
  <sheetPr>
    <tabColor theme="6" tint="-0.249977111117893"/>
    <pageSetUpPr fitToPage="1"/>
  </sheetPr>
  <dimension ref="A1:O99"/>
  <sheetViews>
    <sheetView view="pageBreakPreview" zoomScaleNormal="100" zoomScaleSheetLayoutView="100" workbookViewId="0">
      <selection activeCell="P23" sqref="P23"/>
    </sheetView>
  </sheetViews>
  <sheetFormatPr baseColWidth="10" defaultColWidth="8.85546875" defaultRowHeight="15"/>
  <cols>
    <col min="1" max="1" width="22.140625" bestFit="1" customWidth="1"/>
    <col min="2" max="14" width="6.7109375" customWidth="1"/>
    <col min="15" max="15" width="8.85546875" customWidth="1"/>
  </cols>
  <sheetData>
    <row r="1" spans="1:15" ht="80.25" customHeight="1">
      <c r="A1" s="90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4.45" customHeight="1">
      <c r="A2" s="91" t="s">
        <v>8</v>
      </c>
      <c r="B2" s="92"/>
      <c r="C2" s="73" t="s">
        <v>10</v>
      </c>
      <c r="D2" s="73"/>
      <c r="E2" s="73"/>
      <c r="F2" s="73"/>
      <c r="G2" s="73"/>
      <c r="H2" s="73"/>
      <c r="I2" s="73"/>
      <c r="J2" s="73"/>
      <c r="K2" s="73"/>
      <c r="L2" s="74" t="s">
        <v>6</v>
      </c>
      <c r="M2" s="75"/>
      <c r="N2" s="95" t="s">
        <v>106</v>
      </c>
      <c r="O2" s="95"/>
    </row>
    <row r="3" spans="1:15" ht="14.45" customHeight="1">
      <c r="A3" s="93"/>
      <c r="B3" s="94"/>
      <c r="C3" s="73" t="s">
        <v>11</v>
      </c>
      <c r="D3" s="73"/>
      <c r="E3" s="73"/>
      <c r="F3" s="73"/>
      <c r="G3" s="73"/>
      <c r="H3" s="73"/>
      <c r="I3" s="73"/>
      <c r="J3" s="73"/>
      <c r="K3" s="73"/>
      <c r="L3" s="96" t="s">
        <v>0</v>
      </c>
      <c r="M3" s="96"/>
      <c r="N3" s="97">
        <v>45362</v>
      </c>
      <c r="O3" s="86"/>
    </row>
    <row r="4" spans="1:15" ht="15.6" customHeight="1">
      <c r="A4" s="72" t="s">
        <v>7</v>
      </c>
      <c r="B4" s="72"/>
      <c r="C4" s="73" t="s">
        <v>17</v>
      </c>
      <c r="D4" s="73"/>
      <c r="E4" s="73"/>
      <c r="F4" s="73"/>
      <c r="G4" s="73"/>
      <c r="H4" s="73"/>
      <c r="I4" s="73"/>
      <c r="J4" s="73"/>
      <c r="K4" s="73"/>
      <c r="L4" s="74" t="s">
        <v>1</v>
      </c>
      <c r="M4" s="75"/>
      <c r="N4" s="85" t="s">
        <v>4</v>
      </c>
      <c r="O4" s="86"/>
    </row>
    <row r="5" spans="1:15" ht="14.45" customHeight="1">
      <c r="A5" s="72"/>
      <c r="B5" s="72"/>
      <c r="C5" s="87"/>
      <c r="D5" s="87"/>
      <c r="E5" s="87"/>
      <c r="F5" s="87"/>
      <c r="G5" s="87"/>
      <c r="H5" s="87"/>
      <c r="I5" s="87"/>
      <c r="J5" s="87"/>
      <c r="K5" s="87"/>
      <c r="L5" s="88"/>
      <c r="M5" s="89"/>
      <c r="N5" s="88"/>
      <c r="O5" s="89"/>
    </row>
    <row r="6" spans="1:15">
      <c r="A6" s="7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8"/>
    </row>
    <row r="7" spans="1:15">
      <c r="A7" s="79" t="s">
        <v>9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</row>
    <row r="8" spans="1:15" ht="15.6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1:15" ht="81" customHeight="1">
      <c r="A9" s="3" t="s">
        <v>12</v>
      </c>
      <c r="B9" s="4" t="s">
        <v>95</v>
      </c>
      <c r="C9" s="4" t="s">
        <v>2</v>
      </c>
      <c r="D9" s="4" t="s">
        <v>3</v>
      </c>
      <c r="E9" s="4" t="s">
        <v>13</v>
      </c>
      <c r="F9" s="4" t="s">
        <v>18</v>
      </c>
      <c r="G9" s="4" t="s">
        <v>19</v>
      </c>
      <c r="H9" s="4" t="s">
        <v>20</v>
      </c>
      <c r="I9" s="4" t="s">
        <v>14</v>
      </c>
      <c r="J9" s="4" t="s">
        <v>15</v>
      </c>
      <c r="K9" s="4" t="s">
        <v>16</v>
      </c>
      <c r="L9" s="4" t="s">
        <v>21</v>
      </c>
      <c r="M9" s="4" t="s">
        <v>22</v>
      </c>
      <c r="N9" s="4" t="s">
        <v>23</v>
      </c>
      <c r="O9" s="9" t="s">
        <v>24</v>
      </c>
    </row>
    <row r="10" spans="1:15">
      <c r="A10" s="1" t="s">
        <v>60</v>
      </c>
      <c r="B10" s="8">
        <v>5</v>
      </c>
      <c r="C10" s="8">
        <v>1</v>
      </c>
      <c r="D10" s="8">
        <v>1</v>
      </c>
      <c r="E10" s="8"/>
      <c r="F10" s="8">
        <v>1</v>
      </c>
      <c r="G10" s="8">
        <v>1</v>
      </c>
      <c r="H10" s="8">
        <v>1</v>
      </c>
      <c r="I10" s="8"/>
      <c r="J10" s="8"/>
      <c r="K10" s="8"/>
      <c r="L10" s="8"/>
      <c r="M10" s="8"/>
      <c r="N10" s="8"/>
      <c r="O10" s="2">
        <f>SUM(B10:N10)</f>
        <v>10</v>
      </c>
    </row>
    <row r="11" spans="1:15">
      <c r="A11" s="1" t="s">
        <v>61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">
        <f t="shared" ref="O11:O25" si="0">SUM(B11:N11)</f>
        <v>0</v>
      </c>
    </row>
    <row r="12" spans="1:15">
      <c r="A12" s="1" t="s">
        <v>25</v>
      </c>
      <c r="B12" s="8">
        <v>1</v>
      </c>
      <c r="C12" s="8"/>
      <c r="D12" s="8"/>
      <c r="E12" s="8"/>
      <c r="F12" s="8"/>
      <c r="G12" s="8"/>
      <c r="H12" s="8"/>
      <c r="I12" s="8">
        <v>1</v>
      </c>
      <c r="J12" s="8">
        <v>4</v>
      </c>
      <c r="K12" s="8"/>
      <c r="L12" s="8"/>
      <c r="M12" s="8">
        <v>1</v>
      </c>
      <c r="N12" s="8"/>
      <c r="O12" s="2">
        <f t="shared" si="0"/>
        <v>7</v>
      </c>
    </row>
    <row r="13" spans="1:15">
      <c r="A13" s="1" t="s">
        <v>57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">
        <f t="shared" si="0"/>
        <v>0</v>
      </c>
    </row>
    <row r="14" spans="1:15">
      <c r="A14" s="1" t="s">
        <v>59</v>
      </c>
      <c r="B14" s="8">
        <v>1</v>
      </c>
      <c r="C14" s="8">
        <v>3</v>
      </c>
      <c r="D14" s="8">
        <v>1</v>
      </c>
      <c r="E14" s="8">
        <v>1</v>
      </c>
      <c r="F14" s="8"/>
      <c r="G14" s="8"/>
      <c r="H14" s="8"/>
      <c r="I14" s="8">
        <v>9</v>
      </c>
      <c r="J14" s="8">
        <v>55</v>
      </c>
      <c r="K14" s="8">
        <v>26</v>
      </c>
      <c r="L14" s="8"/>
      <c r="M14" s="8">
        <v>3</v>
      </c>
      <c r="N14" s="8">
        <v>11</v>
      </c>
      <c r="O14" s="2">
        <f t="shared" si="0"/>
        <v>110</v>
      </c>
    </row>
    <row r="15" spans="1:15">
      <c r="A15" s="1" t="s">
        <v>58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">
        <f t="shared" si="0"/>
        <v>0</v>
      </c>
    </row>
    <row r="16" spans="1:15">
      <c r="A16" s="1" t="s">
        <v>26</v>
      </c>
      <c r="B16" s="8">
        <v>2</v>
      </c>
      <c r="C16" s="8"/>
      <c r="D16" s="8"/>
      <c r="E16" s="8"/>
      <c r="F16" s="8"/>
      <c r="G16" s="8"/>
      <c r="H16" s="8"/>
      <c r="I16" s="8"/>
      <c r="J16" s="8">
        <v>14</v>
      </c>
      <c r="K16" s="8"/>
      <c r="L16" s="8"/>
      <c r="M16" s="8">
        <v>2</v>
      </c>
      <c r="N16" s="8"/>
      <c r="O16" s="2">
        <f t="shared" si="0"/>
        <v>18</v>
      </c>
    </row>
    <row r="17" spans="1:15">
      <c r="A17" s="1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">
        <f t="shared" si="0"/>
        <v>0</v>
      </c>
    </row>
    <row r="18" spans="1:15">
      <c r="A18" s="1" t="s">
        <v>28</v>
      </c>
      <c r="B18" s="8">
        <v>1</v>
      </c>
      <c r="C18" s="8"/>
      <c r="D18" s="8"/>
      <c r="E18" s="8"/>
      <c r="F18" s="8"/>
      <c r="G18" s="8"/>
      <c r="H18" s="8"/>
      <c r="I18" s="8"/>
      <c r="J18" s="8">
        <v>2</v>
      </c>
      <c r="K18" s="8"/>
      <c r="L18" s="8"/>
      <c r="M18" s="8"/>
      <c r="N18" s="8"/>
      <c r="O18" s="2">
        <f t="shared" si="0"/>
        <v>3</v>
      </c>
    </row>
    <row r="19" spans="1:15">
      <c r="A19" s="1" t="s">
        <v>29</v>
      </c>
      <c r="B19" s="8">
        <v>1</v>
      </c>
      <c r="C19" s="8"/>
      <c r="D19" s="8"/>
      <c r="E19" s="8"/>
      <c r="F19" s="8"/>
      <c r="G19" s="8"/>
      <c r="H19" s="8"/>
      <c r="I19" s="8">
        <v>4</v>
      </c>
      <c r="J19" s="8"/>
      <c r="K19" s="8"/>
      <c r="L19" s="8">
        <v>24</v>
      </c>
      <c r="M19" s="8"/>
      <c r="N19" s="8"/>
      <c r="O19" s="2">
        <f t="shared" si="0"/>
        <v>29</v>
      </c>
    </row>
    <row r="20" spans="1:15">
      <c r="A20" s="1" t="s">
        <v>30</v>
      </c>
      <c r="B20" s="8">
        <v>1</v>
      </c>
      <c r="C20" s="8"/>
      <c r="D20" s="8">
        <v>1</v>
      </c>
      <c r="E20" s="8"/>
      <c r="F20" s="8"/>
      <c r="G20" s="8"/>
      <c r="H20" s="8"/>
      <c r="I20" s="8">
        <v>6</v>
      </c>
      <c r="J20" s="8"/>
      <c r="K20" s="8"/>
      <c r="L20" s="8"/>
      <c r="M20" s="8"/>
      <c r="N20" s="8"/>
      <c r="O20" s="2">
        <f t="shared" si="0"/>
        <v>8</v>
      </c>
    </row>
    <row r="21" spans="1:15">
      <c r="A21" s="1" t="s">
        <v>31</v>
      </c>
      <c r="B21" s="8">
        <v>1</v>
      </c>
      <c r="C21" s="8"/>
      <c r="D21" s="8"/>
      <c r="E21" s="8"/>
      <c r="F21" s="8"/>
      <c r="G21" s="8"/>
      <c r="H21" s="8"/>
      <c r="I21" s="8"/>
      <c r="J21" s="8">
        <v>4</v>
      </c>
      <c r="K21" s="8"/>
      <c r="L21" s="8"/>
      <c r="M21" s="8"/>
      <c r="N21" s="8"/>
      <c r="O21" s="2">
        <f t="shared" si="0"/>
        <v>5</v>
      </c>
    </row>
    <row r="22" spans="1:15">
      <c r="A22" s="1" t="s">
        <v>32</v>
      </c>
      <c r="B22" s="8">
        <v>1</v>
      </c>
      <c r="C22" s="8"/>
      <c r="D22" s="8"/>
      <c r="E22" s="8"/>
      <c r="F22" s="8"/>
      <c r="G22" s="8"/>
      <c r="H22" s="8"/>
      <c r="I22" s="8"/>
      <c r="J22" s="8"/>
      <c r="K22" s="8">
        <v>5</v>
      </c>
      <c r="L22" s="8"/>
      <c r="M22" s="8"/>
      <c r="N22" s="8"/>
      <c r="O22" s="2">
        <f t="shared" si="0"/>
        <v>6</v>
      </c>
    </row>
    <row r="23" spans="1:15">
      <c r="A23" s="1" t="s">
        <v>33</v>
      </c>
      <c r="B23" s="8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>
        <v>6</v>
      </c>
      <c r="O23" s="2">
        <f t="shared" si="0"/>
        <v>7</v>
      </c>
    </row>
    <row r="24" spans="1:15">
      <c r="A24" s="1" t="s">
        <v>51</v>
      </c>
      <c r="B24" s="8" t="s">
        <v>104</v>
      </c>
      <c r="C24" s="8"/>
      <c r="D24" s="8"/>
      <c r="E24" s="8"/>
      <c r="F24" s="8"/>
      <c r="G24" s="8"/>
      <c r="H24" s="8"/>
      <c r="I24" s="8"/>
      <c r="J24" s="8" t="s">
        <v>104</v>
      </c>
      <c r="K24" s="8"/>
      <c r="L24" s="8"/>
      <c r="M24" s="8"/>
      <c r="N24" s="8"/>
      <c r="O24" s="2">
        <f t="shared" si="0"/>
        <v>0</v>
      </c>
    </row>
    <row r="25" spans="1:15" ht="13.9" customHeight="1">
      <c r="A25" s="1" t="s">
        <v>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 t="s">
        <v>104</v>
      </c>
      <c r="N25" s="8"/>
      <c r="O25" s="2">
        <f t="shared" si="0"/>
        <v>0</v>
      </c>
    </row>
    <row r="26" spans="1:15" ht="15" customHeight="1">
      <c r="A26" s="5" t="s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2">
        <f>SUM(O10:O25)</f>
        <v>203</v>
      </c>
    </row>
    <row r="27" spans="1:15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4"/>
    </row>
    <row r="28" spans="1:15">
      <c r="A28" s="79" t="s">
        <v>35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  <row r="29" spans="1:15" ht="14.45" customHeight="1">
      <c r="A29" s="63" t="s">
        <v>36</v>
      </c>
      <c r="B29" s="63" t="s">
        <v>63</v>
      </c>
      <c r="C29" s="63" t="s">
        <v>37</v>
      </c>
      <c r="D29" s="63" t="s">
        <v>38</v>
      </c>
      <c r="E29" s="63" t="s">
        <v>39</v>
      </c>
      <c r="F29" s="63" t="s">
        <v>40</v>
      </c>
      <c r="G29" s="70" t="s">
        <v>41</v>
      </c>
      <c r="H29" s="70" t="s">
        <v>42</v>
      </c>
      <c r="I29" s="70" t="s">
        <v>43</v>
      </c>
      <c r="J29" s="70"/>
      <c r="K29" s="63"/>
      <c r="L29" s="63"/>
      <c r="M29" s="63"/>
      <c r="N29" s="63"/>
      <c r="O29" s="64" t="s">
        <v>24</v>
      </c>
    </row>
    <row r="30" spans="1:15" ht="51.6" customHeight="1">
      <c r="A30" s="63"/>
      <c r="B30" s="63"/>
      <c r="C30" s="63"/>
      <c r="D30" s="63"/>
      <c r="E30" s="63"/>
      <c r="F30" s="63"/>
      <c r="G30" s="71"/>
      <c r="H30" s="71"/>
      <c r="I30" s="71"/>
      <c r="J30" s="71"/>
      <c r="K30" s="63"/>
      <c r="L30" s="63"/>
      <c r="M30" s="63"/>
      <c r="N30" s="63"/>
      <c r="O30" s="64"/>
    </row>
    <row r="31" spans="1:15" ht="15.75">
      <c r="A31" s="6" t="s">
        <v>44</v>
      </c>
      <c r="B31" s="10"/>
      <c r="C31" s="10"/>
      <c r="D31" s="10">
        <v>1</v>
      </c>
      <c r="E31" s="10"/>
      <c r="F31" s="10">
        <v>1</v>
      </c>
      <c r="G31" s="10">
        <v>1</v>
      </c>
      <c r="H31" s="10"/>
      <c r="I31" s="10"/>
      <c r="J31" s="10"/>
      <c r="K31" s="10"/>
      <c r="L31" s="10"/>
      <c r="M31" s="10"/>
      <c r="N31" s="10"/>
      <c r="O31" s="12">
        <f>SUM(B31:N31)</f>
        <v>3</v>
      </c>
    </row>
    <row r="32" spans="1:15" ht="15.75">
      <c r="A32" s="6" t="s">
        <v>45</v>
      </c>
      <c r="B32" s="10"/>
      <c r="C32" s="10">
        <v>1</v>
      </c>
      <c r="D32" s="10">
        <v>2</v>
      </c>
      <c r="E32" s="10"/>
      <c r="F32" s="10">
        <v>1</v>
      </c>
      <c r="G32" s="10"/>
      <c r="H32" s="10">
        <v>1</v>
      </c>
      <c r="I32" s="10"/>
      <c r="J32" s="10"/>
      <c r="K32" s="10"/>
      <c r="L32" s="10"/>
      <c r="M32" s="10"/>
      <c r="N32" s="10"/>
      <c r="O32" s="12">
        <f t="shared" ref="O32:O40" si="1">SUM(B32:N32)</f>
        <v>5</v>
      </c>
    </row>
    <row r="33" spans="1:15" ht="15.75">
      <c r="A33" s="6" t="s">
        <v>46</v>
      </c>
      <c r="B33" s="10"/>
      <c r="C33" s="10"/>
      <c r="D33" s="10"/>
      <c r="E33" s="10">
        <v>1</v>
      </c>
      <c r="F33" s="10">
        <v>1</v>
      </c>
      <c r="G33" s="10"/>
      <c r="H33" s="10"/>
      <c r="I33" s="10">
        <v>2</v>
      </c>
      <c r="J33" s="10"/>
      <c r="K33" s="10"/>
      <c r="L33" s="10"/>
      <c r="M33" s="10"/>
      <c r="N33" s="10"/>
      <c r="O33" s="12">
        <f t="shared" si="1"/>
        <v>4</v>
      </c>
    </row>
    <row r="34" spans="1:15" ht="15.75">
      <c r="A34" s="6" t="s">
        <v>47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2">
        <f t="shared" si="1"/>
        <v>0</v>
      </c>
    </row>
    <row r="35" spans="1:15" ht="15.75">
      <c r="A35" s="6" t="s">
        <v>48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2">
        <f t="shared" si="1"/>
        <v>0</v>
      </c>
    </row>
    <row r="36" spans="1:15" ht="15.75">
      <c r="A36" s="6" t="s">
        <v>33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10"/>
      <c r="M36" s="10"/>
      <c r="N36" s="10"/>
      <c r="O36" s="12">
        <f t="shared" si="1"/>
        <v>2</v>
      </c>
    </row>
    <row r="37" spans="1:15" ht="15.75">
      <c r="A37" s="6" t="s">
        <v>49</v>
      </c>
      <c r="B37" s="10"/>
      <c r="C37" s="10"/>
      <c r="D37" s="10"/>
      <c r="E37" s="10">
        <v>1</v>
      </c>
      <c r="F37" s="10">
        <v>1</v>
      </c>
      <c r="G37" s="10"/>
      <c r="H37" s="10"/>
      <c r="I37" s="10">
        <v>1</v>
      </c>
      <c r="J37" s="10"/>
      <c r="K37" s="10"/>
      <c r="L37" s="10"/>
      <c r="M37" s="10"/>
      <c r="N37" s="10"/>
      <c r="O37" s="12">
        <f t="shared" si="1"/>
        <v>3</v>
      </c>
    </row>
    <row r="38" spans="1:15" ht="15.75">
      <c r="A38" s="6" t="s">
        <v>50</v>
      </c>
      <c r="B38" s="10"/>
      <c r="C38" s="10"/>
      <c r="D38" s="10"/>
      <c r="E38" s="10"/>
      <c r="F38" s="10">
        <v>1</v>
      </c>
      <c r="G38" s="10"/>
      <c r="H38" s="10"/>
      <c r="I38" s="10"/>
      <c r="J38" s="10"/>
      <c r="K38" s="10"/>
      <c r="L38" s="10"/>
      <c r="M38" s="10"/>
      <c r="N38" s="10"/>
      <c r="O38" s="12">
        <f t="shared" si="1"/>
        <v>1</v>
      </c>
    </row>
    <row r="39" spans="1:15" ht="15.75">
      <c r="A39" s="7" t="s">
        <v>51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2">
        <f t="shared" si="1"/>
        <v>0</v>
      </c>
    </row>
    <row r="40" spans="1:15" ht="15.75">
      <c r="A40" s="1" t="s">
        <v>32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2">
        <f t="shared" si="1"/>
        <v>0</v>
      </c>
    </row>
    <row r="41" spans="1:15" ht="15.75">
      <c r="A41" s="11" t="s">
        <v>89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>
        <f>SUM(O31:O40)</f>
        <v>18</v>
      </c>
    </row>
    <row r="42" spans="1:15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>
      <c r="A43" s="66" t="s">
        <v>52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spans="1:15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</row>
    <row r="45" spans="1:15" ht="15.75">
      <c r="A45" s="55" t="s">
        <v>53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spans="1:15">
      <c r="A46" s="27" t="s">
        <v>96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9"/>
    </row>
    <row r="47" spans="1:15">
      <c r="A47" s="27" t="s">
        <v>72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8" spans="1:15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9"/>
    </row>
    <row r="49" spans="1:15" ht="15.75">
      <c r="A49" s="30" t="s">
        <v>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/>
    </row>
    <row r="50" spans="1:15" ht="15.75">
      <c r="A50" s="60" t="s">
        <v>55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>
      <c r="A51" s="27" t="s">
        <v>62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9"/>
    </row>
    <row r="52" spans="1:15" ht="15.75">
      <c r="A52" s="52" t="s">
        <v>56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4"/>
    </row>
    <row r="53" spans="1:15" ht="13.9" customHeight="1">
      <c r="A53" s="46" t="s">
        <v>65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8"/>
    </row>
    <row r="54" spans="1:15">
      <c r="A54" s="27" t="s">
        <v>64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/>
    </row>
    <row r="55" spans="1:15">
      <c r="A55" s="40" t="s">
        <v>70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2"/>
    </row>
    <row r="56" spans="1:15">
      <c r="A56" s="40" t="s">
        <v>77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2"/>
    </row>
    <row r="57" spans="1:15">
      <c r="A57" s="37" t="s">
        <v>66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</row>
    <row r="58" spans="1:15">
      <c r="A58" s="27" t="s">
        <v>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9"/>
    </row>
    <row r="59" spans="1:15">
      <c r="A59" s="27" t="s">
        <v>67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9"/>
    </row>
    <row r="60" spans="1:15">
      <c r="A60" s="27" t="s">
        <v>94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9"/>
    </row>
    <row r="61" spans="1:15">
      <c r="A61" s="27" t="s">
        <v>77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/>
    </row>
    <row r="62" spans="1:15">
      <c r="A62" s="37" t="s">
        <v>68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9"/>
    </row>
    <row r="63" spans="1:15">
      <c r="A63" s="27" t="s">
        <v>62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/>
    </row>
    <row r="64" spans="1:15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</row>
    <row r="65" spans="1:15" ht="15.75">
      <c r="A65" s="30" t="s">
        <v>69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2"/>
    </row>
    <row r="66" spans="1:15">
      <c r="A66" s="46" t="s">
        <v>71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8"/>
    </row>
    <row r="67" spans="1:15">
      <c r="A67" s="27" t="s">
        <v>97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/>
    </row>
    <row r="68" spans="1:15">
      <c r="A68" s="27" t="s">
        <v>98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9"/>
    </row>
    <row r="69" spans="1:15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9"/>
    </row>
    <row r="70" spans="1:15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1"/>
    </row>
    <row r="71" spans="1:15" ht="15.75">
      <c r="A71" s="30" t="s">
        <v>74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2"/>
    </row>
    <row r="72" spans="1:15">
      <c r="A72" s="37" t="s">
        <v>75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/>
    </row>
    <row r="73" spans="1:15">
      <c r="A73" s="27" t="s">
        <v>103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9"/>
    </row>
    <row r="74" spans="1:15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9"/>
    </row>
    <row r="75" spans="1:15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9"/>
    </row>
    <row r="76" spans="1:15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8"/>
    </row>
    <row r="77" spans="1:15" ht="15.75">
      <c r="A77" s="30" t="s">
        <v>76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2"/>
    </row>
    <row r="78" spans="1:15">
      <c r="A78" s="27" t="s">
        <v>78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9"/>
    </row>
    <row r="79" spans="1:15">
      <c r="A79" s="27" t="s">
        <v>99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9"/>
    </row>
    <row r="80" spans="1:15">
      <c r="A80" s="40" t="s">
        <v>100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2"/>
    </row>
    <row r="81" spans="1:15" ht="15.75">
      <c r="A81" s="30" t="s">
        <v>79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2"/>
    </row>
    <row r="82" spans="1:15">
      <c r="A82" s="37" t="s">
        <v>80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9"/>
    </row>
    <row r="83" spans="1:15">
      <c r="A83" s="27" t="s">
        <v>101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9"/>
    </row>
    <row r="84" spans="1:15">
      <c r="A84" s="27" t="s">
        <v>102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9"/>
    </row>
    <row r="85" spans="1:15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8"/>
    </row>
    <row r="86" spans="1:15" ht="15.75">
      <c r="A86" s="30" t="s">
        <v>81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2"/>
    </row>
    <row r="87" spans="1:15">
      <c r="A87" s="37" t="s">
        <v>82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9"/>
    </row>
    <row r="88" spans="1:15">
      <c r="A88" s="27" t="s">
        <v>91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9"/>
    </row>
    <row r="89" spans="1:15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8"/>
    </row>
    <row r="90" spans="1:15" ht="15.75">
      <c r="A90" s="30" t="s">
        <v>83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2"/>
    </row>
    <row r="91" spans="1:15">
      <c r="A91" s="33" t="s">
        <v>84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5"/>
    </row>
    <row r="92" spans="1:15">
      <c r="A92" s="27" t="s">
        <v>85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9"/>
    </row>
    <row r="93" spans="1:15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9"/>
    </row>
    <row r="94" spans="1:15" ht="15.7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1:15" ht="15.7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1"/>
    </row>
    <row r="96" spans="1:15" ht="15.75">
      <c r="A96" s="22" t="s">
        <v>86</v>
      </c>
      <c r="B96" s="22"/>
      <c r="C96" s="22"/>
      <c r="D96" s="22"/>
      <c r="E96" s="23" t="s">
        <v>87</v>
      </c>
      <c r="F96" s="23"/>
      <c r="G96" s="23"/>
      <c r="H96" s="23"/>
      <c r="I96" s="23"/>
      <c r="J96" s="23"/>
      <c r="K96" s="23"/>
      <c r="L96" s="23" t="s">
        <v>88</v>
      </c>
      <c r="M96" s="23"/>
      <c r="N96" s="23"/>
      <c r="O96" s="23"/>
    </row>
    <row r="97" spans="1:15">
      <c r="A97" s="24" t="s">
        <v>90</v>
      </c>
      <c r="B97" s="24"/>
      <c r="C97" s="24"/>
      <c r="D97" s="24"/>
      <c r="E97" s="25">
        <v>45362</v>
      </c>
      <c r="F97" s="24"/>
      <c r="G97" s="24"/>
      <c r="H97" s="24"/>
      <c r="I97" s="24"/>
      <c r="J97" s="24"/>
      <c r="K97" s="24"/>
      <c r="L97" s="26"/>
      <c r="M97" s="26"/>
      <c r="N97" s="26"/>
      <c r="O97" s="26"/>
    </row>
    <row r="98" spans="1: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6"/>
      <c r="M98" s="26"/>
      <c r="N98" s="26"/>
      <c r="O98" s="26"/>
    </row>
    <row r="99" spans="1: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</sheetData>
  <sheetProtection selectLockedCells="1" selectUnlockedCells="1"/>
  <mergeCells count="96">
    <mergeCell ref="A97:D98"/>
    <mergeCell ref="E97:K98"/>
    <mergeCell ref="L97:O98"/>
    <mergeCell ref="A99:O99"/>
    <mergeCell ref="A93:O93"/>
    <mergeCell ref="A94:O94"/>
    <mergeCell ref="A95:O95"/>
    <mergeCell ref="A96:D96"/>
    <mergeCell ref="E96:K96"/>
    <mergeCell ref="L96:O96"/>
    <mergeCell ref="A87:O87"/>
    <mergeCell ref="A88:O88"/>
    <mergeCell ref="A89:O89"/>
    <mergeCell ref="A90:O90"/>
    <mergeCell ref="A91:O91"/>
    <mergeCell ref="A92:O92"/>
    <mergeCell ref="A81:O81"/>
    <mergeCell ref="A82:O82"/>
    <mergeCell ref="A83:O83"/>
    <mergeCell ref="A84:O84"/>
    <mergeCell ref="A85:O85"/>
    <mergeCell ref="A86:O86"/>
    <mergeCell ref="A75:O75"/>
    <mergeCell ref="A76:O76"/>
    <mergeCell ref="A77:O77"/>
    <mergeCell ref="A78:O78"/>
    <mergeCell ref="A79:O79"/>
    <mergeCell ref="A80:O80"/>
    <mergeCell ref="A69:O69"/>
    <mergeCell ref="A70:O70"/>
    <mergeCell ref="A71:O71"/>
    <mergeCell ref="A72:O72"/>
    <mergeCell ref="A73:O73"/>
    <mergeCell ref="A74:O74"/>
    <mergeCell ref="A63:O63"/>
    <mergeCell ref="A64:O64"/>
    <mergeCell ref="A65:O65"/>
    <mergeCell ref="A66:O66"/>
    <mergeCell ref="A67:O67"/>
    <mergeCell ref="A68:O68"/>
    <mergeCell ref="A57:O57"/>
    <mergeCell ref="A58:O58"/>
    <mergeCell ref="A59:O59"/>
    <mergeCell ref="A60:O60"/>
    <mergeCell ref="A61:O61"/>
    <mergeCell ref="A62:O62"/>
    <mergeCell ref="A51:O51"/>
    <mergeCell ref="A52:O52"/>
    <mergeCell ref="A53:O53"/>
    <mergeCell ref="A54:O54"/>
    <mergeCell ref="A55:O55"/>
    <mergeCell ref="A56:O56"/>
    <mergeCell ref="A45:O45"/>
    <mergeCell ref="A46:O46"/>
    <mergeCell ref="A47:O47"/>
    <mergeCell ref="A48:O48"/>
    <mergeCell ref="A49:O49"/>
    <mergeCell ref="A50:O50"/>
    <mergeCell ref="L29:L30"/>
    <mergeCell ref="M29:M30"/>
    <mergeCell ref="N29:N30"/>
    <mergeCell ref="O29:O30"/>
    <mergeCell ref="A42:O42"/>
    <mergeCell ref="A43:O44"/>
    <mergeCell ref="F29:F30"/>
    <mergeCell ref="G29:G30"/>
    <mergeCell ref="H29:H30"/>
    <mergeCell ref="I29:I30"/>
    <mergeCell ref="J29:J30"/>
    <mergeCell ref="K29:K30"/>
    <mergeCell ref="A6:O6"/>
    <mergeCell ref="A7:O7"/>
    <mergeCell ref="A8:O8"/>
    <mergeCell ref="A27:O27"/>
    <mergeCell ref="A28:O28"/>
    <mergeCell ref="A29:A30"/>
    <mergeCell ref="B29:B30"/>
    <mergeCell ref="C29:C30"/>
    <mergeCell ref="D29:D30"/>
    <mergeCell ref="E29:E30"/>
    <mergeCell ref="A4:B4"/>
    <mergeCell ref="C4:K4"/>
    <mergeCell ref="L4:M4"/>
    <mergeCell ref="N4:O4"/>
    <mergeCell ref="A5:B5"/>
    <mergeCell ref="C5:K5"/>
    <mergeCell ref="L5:M5"/>
    <mergeCell ref="N5:O5"/>
    <mergeCell ref="A1:O1"/>
    <mergeCell ref="A2:B3"/>
    <mergeCell ref="C2:K2"/>
    <mergeCell ref="L2:M2"/>
    <mergeCell ref="N2:O2"/>
    <mergeCell ref="C3:K3"/>
    <mergeCell ref="L3:M3"/>
    <mergeCell ref="N3:O3"/>
  </mergeCells>
  <dataValidations count="4">
    <dataValidation type="whole" showInputMessage="1" showErrorMessage="1" sqref="J14" xr:uid="{35976A94-38EA-4A5C-8023-496694676754}">
      <formula1>0</formula1>
      <formula2>100</formula2>
    </dataValidation>
    <dataValidation type="list" allowBlank="1" showInputMessage="1" showErrorMessage="1" sqref="J15:J25 B40:N40 B32:N38 B14:I25 K14:N25 B10:N11" xr:uid="{57187485-997C-46F3-AF1C-64BCBD7414C8}">
      <formula1>"-,1,2,3,4,5,6,7,8,9,10,11,12,13,14,15,16,17,18,19,20,21,22,23,24,25,26,27,28,29,30,31,32,33,34,35,36,37,38,39,40"</formula1>
    </dataValidation>
    <dataValidation type="list" allowBlank="1" showInputMessage="1" showErrorMessage="1" sqref="L97:O98" xr:uid="{555D6045-0DCE-49CC-AC66-A0ED514C109A}">
      <formula1>"Jarosław Topolski,Piotr Jelonek"</formula1>
    </dataValidation>
    <dataValidation type="list" allowBlank="1" showInputMessage="1" showErrorMessage="1" sqref="N4:O4" xr:uid="{C45897FA-0548-4F86-9699-0FE967303925}">
      <formula1>"Montag,Dienstag,Mittwoch,Donnerstag,Freitag,Samstag,Sonntag"</formula1>
    </dataValidation>
  </dataValidations>
  <pageMargins left="0.70866141732283461" right="0.70866141732283461" top="0.78740157480314965" bottom="0.78740157480314965" header="0.31496062992125984" footer="0.31496062992125984"/>
  <pageSetup paperSize="9" scale="73" fitToHeight="0" orientation="portrait" r:id="rId1"/>
  <rowBreaks count="1" manualBreakCount="1">
    <brk id="56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95B7-E672-4517-B540-40CA8AB744AD}">
  <sheetPr>
    <tabColor theme="6" tint="-0.249977111117893"/>
    <pageSetUpPr fitToPage="1"/>
  </sheetPr>
  <dimension ref="A1:O99"/>
  <sheetViews>
    <sheetView view="pageBreakPreview" zoomScaleNormal="100" zoomScaleSheetLayoutView="100" workbookViewId="0">
      <selection activeCell="I23" sqref="I23"/>
    </sheetView>
  </sheetViews>
  <sheetFormatPr baseColWidth="10" defaultColWidth="8.85546875" defaultRowHeight="15"/>
  <cols>
    <col min="1" max="1" width="22.140625" bestFit="1" customWidth="1"/>
    <col min="2" max="14" width="6.7109375" customWidth="1"/>
    <col min="15" max="15" width="8.85546875" customWidth="1"/>
  </cols>
  <sheetData>
    <row r="1" spans="1:15" ht="80.25" customHeight="1">
      <c r="A1" s="90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4.45" customHeight="1">
      <c r="A2" s="91" t="s">
        <v>8</v>
      </c>
      <c r="B2" s="92"/>
      <c r="C2" s="73" t="s">
        <v>10</v>
      </c>
      <c r="D2" s="73"/>
      <c r="E2" s="73"/>
      <c r="F2" s="73"/>
      <c r="G2" s="73"/>
      <c r="H2" s="73"/>
      <c r="I2" s="73"/>
      <c r="J2" s="73"/>
      <c r="K2" s="73"/>
      <c r="L2" s="74" t="s">
        <v>6</v>
      </c>
      <c r="M2" s="75"/>
      <c r="N2" s="95" t="s">
        <v>106</v>
      </c>
      <c r="O2" s="95"/>
    </row>
    <row r="3" spans="1:15" ht="14.45" customHeight="1">
      <c r="A3" s="93"/>
      <c r="B3" s="94"/>
      <c r="C3" s="73" t="s">
        <v>11</v>
      </c>
      <c r="D3" s="73"/>
      <c r="E3" s="73"/>
      <c r="F3" s="73"/>
      <c r="G3" s="73"/>
      <c r="H3" s="73"/>
      <c r="I3" s="73"/>
      <c r="J3" s="73"/>
      <c r="K3" s="73"/>
      <c r="L3" s="96" t="s">
        <v>0</v>
      </c>
      <c r="M3" s="96"/>
      <c r="N3" s="97">
        <v>45363</v>
      </c>
      <c r="O3" s="86"/>
    </row>
    <row r="4" spans="1:15" ht="15.6" customHeight="1">
      <c r="A4" s="72" t="s">
        <v>7</v>
      </c>
      <c r="B4" s="72"/>
      <c r="C4" s="73" t="s">
        <v>17</v>
      </c>
      <c r="D4" s="73"/>
      <c r="E4" s="73"/>
      <c r="F4" s="73"/>
      <c r="G4" s="73"/>
      <c r="H4" s="73"/>
      <c r="I4" s="73"/>
      <c r="J4" s="73"/>
      <c r="K4" s="73"/>
      <c r="L4" s="74" t="s">
        <v>1</v>
      </c>
      <c r="M4" s="75"/>
      <c r="N4" s="85" t="s">
        <v>5</v>
      </c>
      <c r="O4" s="86"/>
    </row>
    <row r="5" spans="1:15" ht="14.45" customHeight="1">
      <c r="A5" s="72"/>
      <c r="B5" s="72"/>
      <c r="C5" s="87"/>
      <c r="D5" s="87"/>
      <c r="E5" s="87"/>
      <c r="F5" s="87"/>
      <c r="G5" s="87"/>
      <c r="H5" s="87"/>
      <c r="I5" s="87"/>
      <c r="J5" s="87"/>
      <c r="K5" s="87"/>
      <c r="L5" s="88"/>
      <c r="M5" s="89"/>
      <c r="N5" s="88"/>
      <c r="O5" s="89"/>
    </row>
    <row r="6" spans="1:15">
      <c r="A6" s="7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8"/>
    </row>
    <row r="7" spans="1:15">
      <c r="A7" s="79" t="s">
        <v>9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</row>
    <row r="8" spans="1:15" ht="15.6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1:15" ht="81" customHeight="1">
      <c r="A9" s="3" t="s">
        <v>12</v>
      </c>
      <c r="B9" s="4" t="s">
        <v>95</v>
      </c>
      <c r="C9" s="4" t="s">
        <v>2</v>
      </c>
      <c r="D9" s="4" t="s">
        <v>3</v>
      </c>
      <c r="E9" s="4" t="s">
        <v>13</v>
      </c>
      <c r="F9" s="4" t="s">
        <v>18</v>
      </c>
      <c r="G9" s="4" t="s">
        <v>19</v>
      </c>
      <c r="H9" s="4" t="s">
        <v>20</v>
      </c>
      <c r="I9" s="4" t="s">
        <v>14</v>
      </c>
      <c r="J9" s="4" t="s">
        <v>15</v>
      </c>
      <c r="K9" s="4" t="s">
        <v>16</v>
      </c>
      <c r="L9" s="4" t="s">
        <v>21</v>
      </c>
      <c r="M9" s="4" t="s">
        <v>22</v>
      </c>
      <c r="N9" s="4" t="s">
        <v>23</v>
      </c>
      <c r="O9" s="9" t="s">
        <v>24</v>
      </c>
    </row>
    <row r="10" spans="1:15">
      <c r="A10" s="1" t="s">
        <v>60</v>
      </c>
      <c r="B10" s="8">
        <v>5</v>
      </c>
      <c r="C10" s="8">
        <v>1</v>
      </c>
      <c r="D10" s="8">
        <v>1</v>
      </c>
      <c r="E10" s="8"/>
      <c r="F10" s="8">
        <v>1</v>
      </c>
      <c r="G10" s="8">
        <v>1</v>
      </c>
      <c r="H10" s="8">
        <v>1</v>
      </c>
      <c r="I10" s="8"/>
      <c r="J10" s="8"/>
      <c r="K10" s="8"/>
      <c r="L10" s="8"/>
      <c r="M10" s="8"/>
      <c r="N10" s="8"/>
      <c r="O10" s="2">
        <f>SUM(B10:N10)</f>
        <v>10</v>
      </c>
    </row>
    <row r="11" spans="1:15">
      <c r="A11" s="1" t="s">
        <v>61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">
        <f t="shared" ref="O11:O25" si="0">SUM(B11:N11)</f>
        <v>0</v>
      </c>
    </row>
    <row r="12" spans="1:15">
      <c r="A12" s="1" t="s">
        <v>25</v>
      </c>
      <c r="B12" s="8">
        <v>1</v>
      </c>
      <c r="C12" s="8"/>
      <c r="D12" s="8"/>
      <c r="E12" s="8"/>
      <c r="F12" s="8"/>
      <c r="G12" s="8"/>
      <c r="H12" s="8"/>
      <c r="I12" s="8">
        <v>1</v>
      </c>
      <c r="J12" s="8">
        <v>4</v>
      </c>
      <c r="K12" s="8"/>
      <c r="L12" s="8"/>
      <c r="M12" s="8">
        <v>1</v>
      </c>
      <c r="N12" s="8"/>
      <c r="O12" s="2">
        <f t="shared" si="0"/>
        <v>7</v>
      </c>
    </row>
    <row r="13" spans="1:15">
      <c r="A13" s="1" t="s">
        <v>57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">
        <f t="shared" si="0"/>
        <v>0</v>
      </c>
    </row>
    <row r="14" spans="1:15">
      <c r="A14" s="1" t="s">
        <v>59</v>
      </c>
      <c r="B14" s="8">
        <v>1</v>
      </c>
      <c r="C14" s="8">
        <v>3</v>
      </c>
      <c r="D14" s="8">
        <v>1</v>
      </c>
      <c r="E14" s="8">
        <v>1</v>
      </c>
      <c r="F14" s="8"/>
      <c r="G14" s="8"/>
      <c r="H14" s="8"/>
      <c r="I14" s="8">
        <v>9</v>
      </c>
      <c r="J14" s="8">
        <v>66</v>
      </c>
      <c r="K14" s="8">
        <v>26</v>
      </c>
      <c r="L14" s="8"/>
      <c r="M14" s="8">
        <v>3</v>
      </c>
      <c r="N14" s="8">
        <v>11</v>
      </c>
      <c r="O14" s="2">
        <f t="shared" si="0"/>
        <v>121</v>
      </c>
    </row>
    <row r="15" spans="1:15">
      <c r="A15" s="1" t="s">
        <v>58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">
        <f t="shared" si="0"/>
        <v>0</v>
      </c>
    </row>
    <row r="16" spans="1:15">
      <c r="A16" s="1" t="s">
        <v>26</v>
      </c>
      <c r="B16" s="8">
        <v>2</v>
      </c>
      <c r="C16" s="8"/>
      <c r="D16" s="8"/>
      <c r="E16" s="8"/>
      <c r="F16" s="8"/>
      <c r="G16" s="8"/>
      <c r="H16" s="8"/>
      <c r="I16" s="8"/>
      <c r="J16" s="8">
        <v>17</v>
      </c>
      <c r="K16" s="8"/>
      <c r="L16" s="8"/>
      <c r="M16" s="8">
        <v>2</v>
      </c>
      <c r="N16" s="8"/>
      <c r="O16" s="2">
        <f t="shared" si="0"/>
        <v>21</v>
      </c>
    </row>
    <row r="17" spans="1:15">
      <c r="A17" s="1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">
        <f t="shared" si="0"/>
        <v>0</v>
      </c>
    </row>
    <row r="18" spans="1:15">
      <c r="A18" s="1" t="s">
        <v>28</v>
      </c>
      <c r="B18" s="8">
        <v>1</v>
      </c>
      <c r="C18" s="8"/>
      <c r="D18" s="8"/>
      <c r="E18" s="8"/>
      <c r="F18" s="8"/>
      <c r="G18" s="8"/>
      <c r="H18" s="8"/>
      <c r="I18" s="8"/>
      <c r="J18" s="8">
        <v>1</v>
      </c>
      <c r="K18" s="8"/>
      <c r="L18" s="8"/>
      <c r="M18" s="8"/>
      <c r="N18" s="8"/>
      <c r="O18" s="2">
        <f t="shared" si="0"/>
        <v>2</v>
      </c>
    </row>
    <row r="19" spans="1:15">
      <c r="A19" s="1" t="s">
        <v>29</v>
      </c>
      <c r="B19" s="8">
        <v>1</v>
      </c>
      <c r="C19" s="8"/>
      <c r="D19" s="8"/>
      <c r="E19" s="8"/>
      <c r="F19" s="8"/>
      <c r="G19" s="8"/>
      <c r="H19" s="8"/>
      <c r="I19" s="8">
        <v>4</v>
      </c>
      <c r="J19" s="8"/>
      <c r="K19" s="8"/>
      <c r="L19" s="8">
        <v>23</v>
      </c>
      <c r="M19" s="8"/>
      <c r="N19" s="8"/>
      <c r="O19" s="2">
        <f t="shared" si="0"/>
        <v>28</v>
      </c>
    </row>
    <row r="20" spans="1:15">
      <c r="A20" s="1" t="s">
        <v>30</v>
      </c>
      <c r="B20" s="8">
        <v>1</v>
      </c>
      <c r="C20" s="8"/>
      <c r="D20" s="8">
        <v>1</v>
      </c>
      <c r="E20" s="8"/>
      <c r="F20" s="8"/>
      <c r="G20" s="8"/>
      <c r="H20" s="8"/>
      <c r="I20" s="8" t="s">
        <v>104</v>
      </c>
      <c r="J20" s="8">
        <v>10</v>
      </c>
      <c r="K20" s="8">
        <v>3</v>
      </c>
      <c r="L20" s="8"/>
      <c r="M20" s="8"/>
      <c r="N20" s="8"/>
      <c r="O20" s="2">
        <f t="shared" si="0"/>
        <v>15</v>
      </c>
    </row>
    <row r="21" spans="1:15">
      <c r="A21" s="1" t="s">
        <v>31</v>
      </c>
      <c r="B21" s="8">
        <v>1</v>
      </c>
      <c r="C21" s="8"/>
      <c r="D21" s="8"/>
      <c r="E21" s="8"/>
      <c r="F21" s="8"/>
      <c r="G21" s="8"/>
      <c r="H21" s="8"/>
      <c r="I21" s="8"/>
      <c r="J21" s="8">
        <v>4</v>
      </c>
      <c r="K21" s="8"/>
      <c r="L21" s="8"/>
      <c r="M21" s="8"/>
      <c r="N21" s="8"/>
      <c r="O21" s="2">
        <f t="shared" si="0"/>
        <v>5</v>
      </c>
    </row>
    <row r="22" spans="1:15">
      <c r="A22" s="1" t="s">
        <v>32</v>
      </c>
      <c r="B22" s="8">
        <v>1</v>
      </c>
      <c r="C22" s="8"/>
      <c r="D22" s="8"/>
      <c r="E22" s="8"/>
      <c r="F22" s="8"/>
      <c r="G22" s="8"/>
      <c r="H22" s="8"/>
      <c r="I22" s="8"/>
      <c r="J22" s="8"/>
      <c r="K22" s="8">
        <v>5</v>
      </c>
      <c r="L22" s="8"/>
      <c r="M22" s="8"/>
      <c r="N22" s="8"/>
      <c r="O22" s="2">
        <f t="shared" si="0"/>
        <v>6</v>
      </c>
    </row>
    <row r="23" spans="1:15">
      <c r="A23" s="1" t="s">
        <v>33</v>
      </c>
      <c r="B23" s="8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>
        <v>4</v>
      </c>
      <c r="O23" s="2">
        <f t="shared" si="0"/>
        <v>5</v>
      </c>
    </row>
    <row r="24" spans="1:15">
      <c r="A24" s="1" t="s">
        <v>51</v>
      </c>
      <c r="B24" s="8">
        <v>1</v>
      </c>
      <c r="C24" s="8"/>
      <c r="D24" s="8"/>
      <c r="E24" s="8"/>
      <c r="F24" s="8"/>
      <c r="G24" s="8"/>
      <c r="H24" s="8"/>
      <c r="I24" s="8"/>
      <c r="J24" s="8" t="s">
        <v>104</v>
      </c>
      <c r="K24" s="8"/>
      <c r="L24" s="8"/>
      <c r="M24" s="8"/>
      <c r="N24" s="8"/>
      <c r="O24" s="2">
        <f t="shared" si="0"/>
        <v>1</v>
      </c>
    </row>
    <row r="25" spans="1:15" ht="13.9" customHeight="1">
      <c r="A25" s="1" t="s">
        <v>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 t="s">
        <v>104</v>
      </c>
      <c r="N25" s="8"/>
      <c r="O25" s="2">
        <f t="shared" si="0"/>
        <v>0</v>
      </c>
    </row>
    <row r="26" spans="1:15" ht="15" customHeight="1">
      <c r="A26" s="5" t="s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2">
        <f>SUM(O10:O25)</f>
        <v>221</v>
      </c>
    </row>
    <row r="27" spans="1:15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4"/>
    </row>
    <row r="28" spans="1:15">
      <c r="A28" s="79" t="s">
        <v>35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  <row r="29" spans="1:15" ht="14.45" customHeight="1">
      <c r="A29" s="63" t="s">
        <v>36</v>
      </c>
      <c r="B29" s="63" t="s">
        <v>63</v>
      </c>
      <c r="C29" s="63" t="s">
        <v>37</v>
      </c>
      <c r="D29" s="63" t="s">
        <v>38</v>
      </c>
      <c r="E29" s="63" t="s">
        <v>39</v>
      </c>
      <c r="F29" s="63" t="s">
        <v>40</v>
      </c>
      <c r="G29" s="70" t="s">
        <v>41</v>
      </c>
      <c r="H29" s="70" t="s">
        <v>42</v>
      </c>
      <c r="I29" s="70" t="s">
        <v>43</v>
      </c>
      <c r="J29" s="70"/>
      <c r="K29" s="63"/>
      <c r="L29" s="63"/>
      <c r="M29" s="63"/>
      <c r="N29" s="63"/>
      <c r="O29" s="64" t="s">
        <v>24</v>
      </c>
    </row>
    <row r="30" spans="1:15" ht="51.6" customHeight="1">
      <c r="A30" s="63"/>
      <c r="B30" s="63"/>
      <c r="C30" s="63"/>
      <c r="D30" s="63"/>
      <c r="E30" s="63"/>
      <c r="F30" s="63"/>
      <c r="G30" s="71"/>
      <c r="H30" s="71"/>
      <c r="I30" s="71"/>
      <c r="J30" s="71"/>
      <c r="K30" s="63"/>
      <c r="L30" s="63"/>
      <c r="M30" s="63"/>
      <c r="N30" s="63"/>
      <c r="O30" s="64"/>
    </row>
    <row r="31" spans="1:15" ht="15.75">
      <c r="A31" s="6" t="s">
        <v>44</v>
      </c>
      <c r="B31" s="10"/>
      <c r="C31" s="10"/>
      <c r="D31" s="10">
        <v>1</v>
      </c>
      <c r="E31" s="10"/>
      <c r="F31" s="10">
        <v>1</v>
      </c>
      <c r="G31" s="10">
        <v>1</v>
      </c>
      <c r="H31" s="10"/>
      <c r="I31" s="10"/>
      <c r="J31" s="10"/>
      <c r="K31" s="10"/>
      <c r="L31" s="10"/>
      <c r="M31" s="10"/>
      <c r="N31" s="10"/>
      <c r="O31" s="12">
        <f>SUM(B31:N31)</f>
        <v>3</v>
      </c>
    </row>
    <row r="32" spans="1:15" ht="15.75">
      <c r="A32" s="6" t="s">
        <v>45</v>
      </c>
      <c r="B32" s="10"/>
      <c r="C32" s="10">
        <v>1</v>
      </c>
      <c r="D32" s="10">
        <v>2</v>
      </c>
      <c r="E32" s="10"/>
      <c r="F32" s="10">
        <v>1</v>
      </c>
      <c r="G32" s="10"/>
      <c r="H32" s="10">
        <v>1</v>
      </c>
      <c r="I32" s="10"/>
      <c r="J32" s="10"/>
      <c r="K32" s="10"/>
      <c r="L32" s="10"/>
      <c r="M32" s="10"/>
      <c r="N32" s="10"/>
      <c r="O32" s="12">
        <f t="shared" ref="O32:O40" si="1">SUM(B32:N32)</f>
        <v>5</v>
      </c>
    </row>
    <row r="33" spans="1:15" ht="15.75">
      <c r="A33" s="6" t="s">
        <v>46</v>
      </c>
      <c r="B33" s="10"/>
      <c r="C33" s="10"/>
      <c r="D33" s="10"/>
      <c r="E33" s="10">
        <v>1</v>
      </c>
      <c r="F33" s="10">
        <v>1</v>
      </c>
      <c r="G33" s="10"/>
      <c r="H33" s="10"/>
      <c r="I33" s="10">
        <v>2</v>
      </c>
      <c r="J33" s="10"/>
      <c r="K33" s="10"/>
      <c r="L33" s="10"/>
      <c r="M33" s="10"/>
      <c r="N33" s="10"/>
      <c r="O33" s="12">
        <f t="shared" si="1"/>
        <v>4</v>
      </c>
    </row>
    <row r="34" spans="1:15" ht="15.75">
      <c r="A34" s="6" t="s">
        <v>47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2">
        <f t="shared" si="1"/>
        <v>0</v>
      </c>
    </row>
    <row r="35" spans="1:15" ht="15.75">
      <c r="A35" s="6" t="s">
        <v>48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2">
        <f t="shared" si="1"/>
        <v>0</v>
      </c>
    </row>
    <row r="36" spans="1:15" ht="15.75">
      <c r="A36" s="6" t="s">
        <v>33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10"/>
      <c r="M36" s="10"/>
      <c r="N36" s="10"/>
      <c r="O36" s="12">
        <f t="shared" si="1"/>
        <v>2</v>
      </c>
    </row>
    <row r="37" spans="1:15" ht="15.75">
      <c r="A37" s="6" t="s">
        <v>49</v>
      </c>
      <c r="B37" s="10"/>
      <c r="C37" s="10"/>
      <c r="D37" s="10"/>
      <c r="E37" s="10">
        <v>1</v>
      </c>
      <c r="F37" s="10">
        <v>1</v>
      </c>
      <c r="G37" s="10"/>
      <c r="H37" s="10"/>
      <c r="I37" s="10">
        <v>1</v>
      </c>
      <c r="J37" s="10"/>
      <c r="K37" s="10"/>
      <c r="L37" s="10"/>
      <c r="M37" s="10"/>
      <c r="N37" s="10"/>
      <c r="O37" s="12">
        <f t="shared" si="1"/>
        <v>3</v>
      </c>
    </row>
    <row r="38" spans="1:15" ht="15.75">
      <c r="A38" s="6" t="s">
        <v>50</v>
      </c>
      <c r="B38" s="10"/>
      <c r="C38" s="10"/>
      <c r="D38" s="10"/>
      <c r="E38" s="10"/>
      <c r="F38" s="10">
        <v>1</v>
      </c>
      <c r="G38" s="10"/>
      <c r="H38" s="10"/>
      <c r="I38" s="10"/>
      <c r="J38" s="10"/>
      <c r="K38" s="10"/>
      <c r="L38" s="10"/>
      <c r="M38" s="10"/>
      <c r="N38" s="10"/>
      <c r="O38" s="12">
        <f t="shared" si="1"/>
        <v>1</v>
      </c>
    </row>
    <row r="39" spans="1:15" ht="15.75">
      <c r="A39" s="7" t="s">
        <v>51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2">
        <f t="shared" si="1"/>
        <v>0</v>
      </c>
    </row>
    <row r="40" spans="1:15" ht="15.75">
      <c r="A40" s="1" t="s">
        <v>32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2">
        <f t="shared" si="1"/>
        <v>0</v>
      </c>
    </row>
    <row r="41" spans="1:15" ht="15.75">
      <c r="A41" s="11" t="s">
        <v>89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>
        <f>SUM(O31:O40)</f>
        <v>18</v>
      </c>
    </row>
    <row r="42" spans="1:15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>
      <c r="A43" s="66" t="s">
        <v>52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spans="1:15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</row>
    <row r="45" spans="1:15" ht="15.75">
      <c r="A45" s="55" t="s">
        <v>53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spans="1:15">
      <c r="A46" s="27" t="s">
        <v>96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9"/>
    </row>
    <row r="47" spans="1:15">
      <c r="A47" s="27" t="s">
        <v>72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8" spans="1:15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9"/>
    </row>
    <row r="49" spans="1:15" ht="15.75">
      <c r="A49" s="30" t="s">
        <v>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/>
    </row>
    <row r="50" spans="1:15" ht="15.75">
      <c r="A50" s="60" t="s">
        <v>55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>
      <c r="A51" s="27" t="s">
        <v>62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9"/>
    </row>
    <row r="52" spans="1:15" ht="15.75">
      <c r="A52" s="52" t="s">
        <v>56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4"/>
    </row>
    <row r="53" spans="1:15" ht="13.9" customHeight="1">
      <c r="A53" s="46" t="s">
        <v>65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8"/>
    </row>
    <row r="54" spans="1:15">
      <c r="A54" s="27" t="s">
        <v>64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/>
    </row>
    <row r="55" spans="1:15">
      <c r="A55" s="40" t="s">
        <v>70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2"/>
    </row>
    <row r="56" spans="1:15">
      <c r="A56" s="40" t="s">
        <v>77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2"/>
    </row>
    <row r="57" spans="1:15">
      <c r="A57" s="37" t="s">
        <v>66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</row>
    <row r="58" spans="1:15">
      <c r="A58" s="27" t="s">
        <v>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9"/>
    </row>
    <row r="59" spans="1:15">
      <c r="A59" s="27" t="s">
        <v>67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9"/>
    </row>
    <row r="60" spans="1:15">
      <c r="A60" s="27" t="s">
        <v>94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9"/>
    </row>
    <row r="61" spans="1:15">
      <c r="A61" s="27" t="s">
        <v>77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/>
    </row>
    <row r="62" spans="1:15">
      <c r="A62" s="37" t="s">
        <v>68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9"/>
    </row>
    <row r="63" spans="1:15">
      <c r="A63" s="27" t="s">
        <v>62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/>
    </row>
    <row r="64" spans="1:15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</row>
    <row r="65" spans="1:15" ht="15.75">
      <c r="A65" s="30" t="s">
        <v>69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2"/>
    </row>
    <row r="66" spans="1:15">
      <c r="A66" s="46" t="s">
        <v>71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8"/>
    </row>
    <row r="67" spans="1:15">
      <c r="A67" s="27" t="s">
        <v>97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/>
    </row>
    <row r="68" spans="1:15">
      <c r="A68" s="27" t="s">
        <v>98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9"/>
    </row>
    <row r="69" spans="1:15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9"/>
    </row>
    <row r="70" spans="1:15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1"/>
    </row>
    <row r="71" spans="1:15" ht="15.75">
      <c r="A71" s="30" t="s">
        <v>74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2"/>
    </row>
    <row r="72" spans="1:15">
      <c r="A72" s="37" t="s">
        <v>75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/>
    </row>
    <row r="73" spans="1:15">
      <c r="A73" s="27" t="s">
        <v>103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9"/>
    </row>
    <row r="74" spans="1:15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9"/>
    </row>
    <row r="75" spans="1:15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9"/>
    </row>
    <row r="76" spans="1:15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8"/>
    </row>
    <row r="77" spans="1:15" ht="15.75">
      <c r="A77" s="30" t="s">
        <v>76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2"/>
    </row>
    <row r="78" spans="1:15">
      <c r="A78" s="27" t="s">
        <v>78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9"/>
    </row>
    <row r="79" spans="1:15">
      <c r="A79" s="27" t="s">
        <v>99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9"/>
    </row>
    <row r="80" spans="1:15">
      <c r="A80" s="40" t="s">
        <v>100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2"/>
    </row>
    <row r="81" spans="1:15" ht="15.75">
      <c r="A81" s="30" t="s">
        <v>79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2"/>
    </row>
    <row r="82" spans="1:15">
      <c r="A82" s="37" t="s">
        <v>80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9"/>
    </row>
    <row r="83" spans="1:15">
      <c r="A83" s="27" t="s">
        <v>101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9"/>
    </row>
    <row r="84" spans="1:15">
      <c r="A84" s="27" t="s">
        <v>102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9"/>
    </row>
    <row r="85" spans="1:15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8"/>
    </row>
    <row r="86" spans="1:15" ht="15.75">
      <c r="A86" s="30" t="s">
        <v>81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2"/>
    </row>
    <row r="87" spans="1:15">
      <c r="A87" s="37" t="s">
        <v>82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9"/>
    </row>
    <row r="88" spans="1:15">
      <c r="A88" s="27" t="s">
        <v>91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9"/>
    </row>
    <row r="89" spans="1:15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8"/>
    </row>
    <row r="90" spans="1:15" ht="15.75">
      <c r="A90" s="30" t="s">
        <v>83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2"/>
    </row>
    <row r="91" spans="1:15">
      <c r="A91" s="33" t="s">
        <v>84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5"/>
    </row>
    <row r="92" spans="1:15">
      <c r="A92" s="27" t="s">
        <v>85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9"/>
    </row>
    <row r="93" spans="1:15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9"/>
    </row>
    <row r="94" spans="1:15" ht="15.7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1:15" ht="15.7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1"/>
    </row>
    <row r="96" spans="1:15" ht="15.75">
      <c r="A96" s="22" t="s">
        <v>86</v>
      </c>
      <c r="B96" s="22"/>
      <c r="C96" s="22"/>
      <c r="D96" s="22"/>
      <c r="E96" s="23" t="s">
        <v>87</v>
      </c>
      <c r="F96" s="23"/>
      <c r="G96" s="23"/>
      <c r="H96" s="23"/>
      <c r="I96" s="23"/>
      <c r="J96" s="23"/>
      <c r="K96" s="23"/>
      <c r="L96" s="23" t="s">
        <v>88</v>
      </c>
      <c r="M96" s="23"/>
      <c r="N96" s="23"/>
      <c r="O96" s="23"/>
    </row>
    <row r="97" spans="1:15">
      <c r="A97" s="24" t="s">
        <v>90</v>
      </c>
      <c r="B97" s="24"/>
      <c r="C97" s="24"/>
      <c r="D97" s="24"/>
      <c r="E97" s="25">
        <v>45363</v>
      </c>
      <c r="F97" s="24"/>
      <c r="G97" s="24"/>
      <c r="H97" s="24"/>
      <c r="I97" s="24"/>
      <c r="J97" s="24"/>
      <c r="K97" s="24"/>
      <c r="L97" s="26"/>
      <c r="M97" s="26"/>
      <c r="N97" s="26"/>
      <c r="O97" s="26"/>
    </row>
    <row r="98" spans="1: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6"/>
      <c r="M98" s="26"/>
      <c r="N98" s="26"/>
      <c r="O98" s="26"/>
    </row>
    <row r="99" spans="1: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</sheetData>
  <sheetProtection selectLockedCells="1" selectUnlockedCells="1"/>
  <mergeCells count="96">
    <mergeCell ref="A97:D98"/>
    <mergeCell ref="E97:K98"/>
    <mergeCell ref="L97:O98"/>
    <mergeCell ref="A99:O99"/>
    <mergeCell ref="A93:O93"/>
    <mergeCell ref="A94:O94"/>
    <mergeCell ref="A95:O95"/>
    <mergeCell ref="A96:D96"/>
    <mergeCell ref="E96:K96"/>
    <mergeCell ref="L96:O96"/>
    <mergeCell ref="A87:O87"/>
    <mergeCell ref="A88:O88"/>
    <mergeCell ref="A89:O89"/>
    <mergeCell ref="A90:O90"/>
    <mergeCell ref="A91:O91"/>
    <mergeCell ref="A92:O92"/>
    <mergeCell ref="A81:O81"/>
    <mergeCell ref="A82:O82"/>
    <mergeCell ref="A83:O83"/>
    <mergeCell ref="A84:O84"/>
    <mergeCell ref="A85:O85"/>
    <mergeCell ref="A86:O86"/>
    <mergeCell ref="A75:O75"/>
    <mergeCell ref="A76:O76"/>
    <mergeCell ref="A77:O77"/>
    <mergeCell ref="A78:O78"/>
    <mergeCell ref="A79:O79"/>
    <mergeCell ref="A80:O80"/>
    <mergeCell ref="A69:O69"/>
    <mergeCell ref="A70:O70"/>
    <mergeCell ref="A71:O71"/>
    <mergeCell ref="A72:O72"/>
    <mergeCell ref="A73:O73"/>
    <mergeCell ref="A74:O74"/>
    <mergeCell ref="A63:O63"/>
    <mergeCell ref="A64:O64"/>
    <mergeCell ref="A65:O65"/>
    <mergeCell ref="A66:O66"/>
    <mergeCell ref="A67:O67"/>
    <mergeCell ref="A68:O68"/>
    <mergeCell ref="A57:O57"/>
    <mergeCell ref="A58:O58"/>
    <mergeCell ref="A59:O59"/>
    <mergeCell ref="A60:O60"/>
    <mergeCell ref="A61:O61"/>
    <mergeCell ref="A62:O62"/>
    <mergeCell ref="A51:O51"/>
    <mergeCell ref="A52:O52"/>
    <mergeCell ref="A53:O53"/>
    <mergeCell ref="A54:O54"/>
    <mergeCell ref="A55:O55"/>
    <mergeCell ref="A56:O56"/>
    <mergeCell ref="A45:O45"/>
    <mergeCell ref="A46:O46"/>
    <mergeCell ref="A47:O47"/>
    <mergeCell ref="A48:O48"/>
    <mergeCell ref="A49:O49"/>
    <mergeCell ref="A50:O50"/>
    <mergeCell ref="L29:L30"/>
    <mergeCell ref="M29:M30"/>
    <mergeCell ref="N29:N30"/>
    <mergeCell ref="O29:O30"/>
    <mergeCell ref="A42:O42"/>
    <mergeCell ref="A43:O44"/>
    <mergeCell ref="F29:F30"/>
    <mergeCell ref="G29:G30"/>
    <mergeCell ref="H29:H30"/>
    <mergeCell ref="I29:I30"/>
    <mergeCell ref="J29:J30"/>
    <mergeCell ref="K29:K30"/>
    <mergeCell ref="A6:O6"/>
    <mergeCell ref="A7:O7"/>
    <mergeCell ref="A8:O8"/>
    <mergeCell ref="A27:O27"/>
    <mergeCell ref="A28:O28"/>
    <mergeCell ref="A29:A30"/>
    <mergeCell ref="B29:B30"/>
    <mergeCell ref="C29:C30"/>
    <mergeCell ref="D29:D30"/>
    <mergeCell ref="E29:E30"/>
    <mergeCell ref="A4:B4"/>
    <mergeCell ref="C4:K4"/>
    <mergeCell ref="L4:M4"/>
    <mergeCell ref="N4:O4"/>
    <mergeCell ref="A5:B5"/>
    <mergeCell ref="C5:K5"/>
    <mergeCell ref="L5:M5"/>
    <mergeCell ref="N5:O5"/>
    <mergeCell ref="A1:O1"/>
    <mergeCell ref="A2:B3"/>
    <mergeCell ref="C2:K2"/>
    <mergeCell ref="L2:M2"/>
    <mergeCell ref="N2:O2"/>
    <mergeCell ref="C3:K3"/>
    <mergeCell ref="L3:M3"/>
    <mergeCell ref="N3:O3"/>
  </mergeCells>
  <dataValidations count="4">
    <dataValidation type="list" allowBlank="1" showInputMessage="1" showErrorMessage="1" sqref="N4:O4" xr:uid="{98B5F3AB-E561-41E0-A218-8C8712623493}">
      <formula1>"Montag,Dienstag,Mittwoch,Donnerstag,Freitag,Samstag,Sonntag"</formula1>
    </dataValidation>
    <dataValidation type="list" allowBlank="1" showInputMessage="1" showErrorMessage="1" sqref="L97:O98" xr:uid="{0FB0B880-0C8E-4736-9235-5B0817190144}">
      <formula1>"Jarosław Topolski,Piotr Jelonek"</formula1>
    </dataValidation>
    <dataValidation type="list" allowBlank="1" showInputMessage="1" showErrorMessage="1" sqref="J15:J25 B40:N40 B32:N38 B14:I25 K14:N25 B10:N11" xr:uid="{A0D9DBD4-567F-40AA-89B0-2801000D831E}">
      <formula1>"-,1,2,3,4,5,6,7,8,9,10,11,12,13,14,15,16,17,18,19,20,21,22,23,24,25,26,27,28,29,30,31,32,33,34,35,36,37,38,39,40"</formula1>
    </dataValidation>
    <dataValidation type="whole" showInputMessage="1" showErrorMessage="1" sqref="J14" xr:uid="{106F4AFD-46F9-470A-851E-C4BF1392105C}">
      <formula1>0</formula1>
      <formula2>100</formula2>
    </dataValidation>
  </dataValidations>
  <pageMargins left="0.70866141732283461" right="0.70866141732283461" top="0.78740157480314965" bottom="0.78740157480314965" header="0.31496062992125984" footer="0.31496062992125984"/>
  <pageSetup paperSize="9" scale="73" fitToHeight="0" orientation="portrait" r:id="rId1"/>
  <rowBreaks count="1" manualBreakCount="1">
    <brk id="56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9119-68F3-42DE-9734-6CED84B5A022}">
  <sheetPr>
    <tabColor theme="6" tint="-0.249977111117893"/>
    <pageSetUpPr fitToPage="1"/>
  </sheetPr>
  <dimension ref="A1:O99"/>
  <sheetViews>
    <sheetView view="pageBreakPreview" zoomScaleNormal="100" zoomScaleSheetLayoutView="100" workbookViewId="0">
      <selection activeCell="N4" sqref="N4:O4"/>
    </sheetView>
  </sheetViews>
  <sheetFormatPr baseColWidth="10" defaultColWidth="8.85546875" defaultRowHeight="15"/>
  <cols>
    <col min="1" max="1" width="22.140625" bestFit="1" customWidth="1"/>
    <col min="2" max="14" width="6.7109375" customWidth="1"/>
    <col min="15" max="15" width="8.85546875" customWidth="1"/>
  </cols>
  <sheetData>
    <row r="1" spans="1:15" ht="80.25" customHeight="1">
      <c r="A1" s="90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4.45" customHeight="1">
      <c r="A2" s="91" t="s">
        <v>8</v>
      </c>
      <c r="B2" s="92"/>
      <c r="C2" s="73" t="s">
        <v>10</v>
      </c>
      <c r="D2" s="73"/>
      <c r="E2" s="73"/>
      <c r="F2" s="73"/>
      <c r="G2" s="73"/>
      <c r="H2" s="73"/>
      <c r="I2" s="73"/>
      <c r="J2" s="73"/>
      <c r="K2" s="73"/>
      <c r="L2" s="74" t="s">
        <v>6</v>
      </c>
      <c r="M2" s="75"/>
      <c r="N2" s="95" t="s">
        <v>106</v>
      </c>
      <c r="O2" s="95"/>
    </row>
    <row r="3" spans="1:15" ht="14.45" customHeight="1">
      <c r="A3" s="93"/>
      <c r="B3" s="94"/>
      <c r="C3" s="73" t="s">
        <v>11</v>
      </c>
      <c r="D3" s="73"/>
      <c r="E3" s="73"/>
      <c r="F3" s="73"/>
      <c r="G3" s="73"/>
      <c r="H3" s="73"/>
      <c r="I3" s="73"/>
      <c r="J3" s="73"/>
      <c r="K3" s="73"/>
      <c r="L3" s="96" t="s">
        <v>0</v>
      </c>
      <c r="M3" s="96"/>
      <c r="N3" s="97">
        <v>45364</v>
      </c>
      <c r="O3" s="86"/>
    </row>
    <row r="4" spans="1:15" ht="15.6" customHeight="1">
      <c r="A4" s="72" t="s">
        <v>7</v>
      </c>
      <c r="B4" s="72"/>
      <c r="C4" s="73" t="s">
        <v>17</v>
      </c>
      <c r="D4" s="73"/>
      <c r="E4" s="73"/>
      <c r="F4" s="73"/>
      <c r="G4" s="73"/>
      <c r="H4" s="73"/>
      <c r="I4" s="73"/>
      <c r="J4" s="73"/>
      <c r="K4" s="73"/>
      <c r="L4" s="74" t="s">
        <v>1</v>
      </c>
      <c r="M4" s="75"/>
      <c r="N4" s="85" t="s">
        <v>105</v>
      </c>
      <c r="O4" s="86"/>
    </row>
    <row r="5" spans="1:15" ht="14.45" customHeight="1">
      <c r="A5" s="72"/>
      <c r="B5" s="72"/>
      <c r="C5" s="87"/>
      <c r="D5" s="87"/>
      <c r="E5" s="87"/>
      <c r="F5" s="87"/>
      <c r="G5" s="87"/>
      <c r="H5" s="87"/>
      <c r="I5" s="87"/>
      <c r="J5" s="87"/>
      <c r="K5" s="87"/>
      <c r="L5" s="88"/>
      <c r="M5" s="89"/>
      <c r="N5" s="88"/>
      <c r="O5" s="89"/>
    </row>
    <row r="6" spans="1:15">
      <c r="A6" s="7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8"/>
    </row>
    <row r="7" spans="1:15">
      <c r="A7" s="79" t="s">
        <v>9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</row>
    <row r="8" spans="1:15" ht="15.6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1:15" ht="81" customHeight="1">
      <c r="A9" s="3" t="s">
        <v>12</v>
      </c>
      <c r="B9" s="4" t="s">
        <v>95</v>
      </c>
      <c r="C9" s="4" t="s">
        <v>2</v>
      </c>
      <c r="D9" s="4" t="s">
        <v>3</v>
      </c>
      <c r="E9" s="4" t="s">
        <v>13</v>
      </c>
      <c r="F9" s="4" t="s">
        <v>18</v>
      </c>
      <c r="G9" s="4" t="s">
        <v>19</v>
      </c>
      <c r="H9" s="4" t="s">
        <v>20</v>
      </c>
      <c r="I9" s="4" t="s">
        <v>14</v>
      </c>
      <c r="J9" s="4" t="s">
        <v>15</v>
      </c>
      <c r="K9" s="4" t="s">
        <v>16</v>
      </c>
      <c r="L9" s="4" t="s">
        <v>21</v>
      </c>
      <c r="M9" s="4" t="s">
        <v>22</v>
      </c>
      <c r="N9" s="4" t="s">
        <v>23</v>
      </c>
      <c r="O9" s="9" t="s">
        <v>24</v>
      </c>
    </row>
    <row r="10" spans="1:15">
      <c r="A10" s="1" t="s">
        <v>60</v>
      </c>
      <c r="B10" s="8">
        <v>8</v>
      </c>
      <c r="C10" s="8">
        <v>1</v>
      </c>
      <c r="D10" s="8">
        <v>1</v>
      </c>
      <c r="E10" s="8"/>
      <c r="F10" s="8">
        <v>1</v>
      </c>
      <c r="G10" s="8">
        <v>1</v>
      </c>
      <c r="H10" s="8">
        <v>1</v>
      </c>
      <c r="I10" s="8"/>
      <c r="J10" s="8"/>
      <c r="K10" s="8"/>
      <c r="L10" s="8"/>
      <c r="M10" s="8"/>
      <c r="N10" s="8"/>
      <c r="O10" s="2">
        <f>SUM(B10:N10)</f>
        <v>13</v>
      </c>
    </row>
    <row r="11" spans="1:15">
      <c r="A11" s="1" t="s">
        <v>61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">
        <f t="shared" ref="O11:O25" si="0">SUM(B11:N11)</f>
        <v>0</v>
      </c>
    </row>
    <row r="12" spans="1:15">
      <c r="A12" s="1" t="s">
        <v>25</v>
      </c>
      <c r="B12" s="8">
        <v>1</v>
      </c>
      <c r="C12" s="8"/>
      <c r="D12" s="8"/>
      <c r="E12" s="8"/>
      <c r="F12" s="8"/>
      <c r="G12" s="8"/>
      <c r="H12" s="8"/>
      <c r="I12" s="8">
        <v>1</v>
      </c>
      <c r="J12" s="8">
        <v>4</v>
      </c>
      <c r="K12" s="8"/>
      <c r="L12" s="8"/>
      <c r="M12" s="8">
        <v>1</v>
      </c>
      <c r="N12" s="8"/>
      <c r="O12" s="2">
        <f t="shared" si="0"/>
        <v>7</v>
      </c>
    </row>
    <row r="13" spans="1:15">
      <c r="A13" s="1" t="s">
        <v>57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">
        <f t="shared" si="0"/>
        <v>0</v>
      </c>
    </row>
    <row r="14" spans="1:15">
      <c r="A14" s="1" t="s">
        <v>59</v>
      </c>
      <c r="B14" s="8">
        <v>1</v>
      </c>
      <c r="C14" s="8">
        <v>3</v>
      </c>
      <c r="D14" s="8">
        <v>1</v>
      </c>
      <c r="E14" s="8">
        <v>1</v>
      </c>
      <c r="F14" s="8"/>
      <c r="G14" s="8"/>
      <c r="H14" s="8"/>
      <c r="I14" s="8">
        <v>9</v>
      </c>
      <c r="J14" s="8">
        <v>66</v>
      </c>
      <c r="K14" s="8">
        <v>26</v>
      </c>
      <c r="L14" s="8"/>
      <c r="M14" s="8">
        <v>3</v>
      </c>
      <c r="N14" s="8">
        <v>11</v>
      </c>
      <c r="O14" s="2">
        <f t="shared" si="0"/>
        <v>121</v>
      </c>
    </row>
    <row r="15" spans="1:15">
      <c r="A15" s="1" t="s">
        <v>58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">
        <f t="shared" si="0"/>
        <v>0</v>
      </c>
    </row>
    <row r="16" spans="1:15">
      <c r="A16" s="1" t="s">
        <v>26</v>
      </c>
      <c r="B16" s="8">
        <v>2</v>
      </c>
      <c r="C16" s="8"/>
      <c r="D16" s="8"/>
      <c r="E16" s="8"/>
      <c r="F16" s="8"/>
      <c r="G16" s="8"/>
      <c r="H16" s="8"/>
      <c r="I16" s="8"/>
      <c r="J16" s="8">
        <v>14</v>
      </c>
      <c r="K16" s="8"/>
      <c r="L16" s="8"/>
      <c r="M16" s="8">
        <v>2</v>
      </c>
      <c r="N16" s="8"/>
      <c r="O16" s="2">
        <f t="shared" si="0"/>
        <v>18</v>
      </c>
    </row>
    <row r="17" spans="1:15">
      <c r="A17" s="1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">
        <f t="shared" si="0"/>
        <v>0</v>
      </c>
    </row>
    <row r="18" spans="1:15">
      <c r="A18" s="1" t="s">
        <v>28</v>
      </c>
      <c r="B18" s="8">
        <v>1</v>
      </c>
      <c r="C18" s="8"/>
      <c r="D18" s="8"/>
      <c r="E18" s="8"/>
      <c r="F18" s="8"/>
      <c r="G18" s="8"/>
      <c r="H18" s="8"/>
      <c r="I18" s="8"/>
      <c r="J18" s="8">
        <v>1</v>
      </c>
      <c r="K18" s="8"/>
      <c r="L18" s="8"/>
      <c r="M18" s="8"/>
      <c r="N18" s="8"/>
      <c r="O18" s="2">
        <f t="shared" si="0"/>
        <v>2</v>
      </c>
    </row>
    <row r="19" spans="1:15">
      <c r="A19" s="1" t="s">
        <v>29</v>
      </c>
      <c r="B19" s="8">
        <v>1</v>
      </c>
      <c r="C19" s="8"/>
      <c r="D19" s="8"/>
      <c r="E19" s="8"/>
      <c r="F19" s="8"/>
      <c r="G19" s="8"/>
      <c r="H19" s="8"/>
      <c r="I19" s="8">
        <v>3</v>
      </c>
      <c r="J19" s="8"/>
      <c r="K19" s="8"/>
      <c r="L19" s="8">
        <v>10</v>
      </c>
      <c r="M19" s="8"/>
      <c r="N19" s="8"/>
      <c r="O19" s="2">
        <f t="shared" si="0"/>
        <v>14</v>
      </c>
    </row>
    <row r="20" spans="1:15">
      <c r="A20" s="1" t="s">
        <v>30</v>
      </c>
      <c r="B20" s="8">
        <v>1</v>
      </c>
      <c r="C20" s="8">
        <v>1</v>
      </c>
      <c r="D20" s="8">
        <v>1</v>
      </c>
      <c r="E20" s="8"/>
      <c r="F20" s="8"/>
      <c r="G20" s="8"/>
      <c r="H20" s="8"/>
      <c r="I20" s="8" t="s">
        <v>104</v>
      </c>
      <c r="J20" s="8">
        <v>10</v>
      </c>
      <c r="K20" s="8">
        <v>3</v>
      </c>
      <c r="L20" s="8"/>
      <c r="M20" s="8"/>
      <c r="N20" s="8"/>
      <c r="O20" s="2">
        <f t="shared" si="0"/>
        <v>16</v>
      </c>
    </row>
    <row r="21" spans="1:15">
      <c r="A21" s="1" t="s">
        <v>31</v>
      </c>
      <c r="B21" s="8">
        <v>1</v>
      </c>
      <c r="C21" s="8"/>
      <c r="D21" s="8"/>
      <c r="E21" s="8"/>
      <c r="F21" s="8"/>
      <c r="G21" s="8"/>
      <c r="H21" s="8"/>
      <c r="I21" s="8"/>
      <c r="J21" s="8">
        <v>4</v>
      </c>
      <c r="K21" s="8"/>
      <c r="L21" s="8"/>
      <c r="M21" s="8"/>
      <c r="N21" s="8"/>
      <c r="O21" s="2">
        <f t="shared" si="0"/>
        <v>5</v>
      </c>
    </row>
    <row r="22" spans="1:15">
      <c r="A22" s="1" t="s">
        <v>32</v>
      </c>
      <c r="B22" s="8">
        <v>1</v>
      </c>
      <c r="C22" s="8"/>
      <c r="D22" s="8"/>
      <c r="E22" s="8"/>
      <c r="F22" s="8"/>
      <c r="G22" s="8"/>
      <c r="H22" s="8"/>
      <c r="I22" s="8"/>
      <c r="J22" s="8"/>
      <c r="K22" s="8">
        <v>5</v>
      </c>
      <c r="L22" s="8"/>
      <c r="M22" s="8"/>
      <c r="N22" s="8"/>
      <c r="O22" s="2">
        <f t="shared" si="0"/>
        <v>6</v>
      </c>
    </row>
    <row r="23" spans="1:15">
      <c r="A23" s="1" t="s">
        <v>33</v>
      </c>
      <c r="B23" s="8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>
        <v>6</v>
      </c>
      <c r="O23" s="2">
        <f t="shared" si="0"/>
        <v>7</v>
      </c>
    </row>
    <row r="24" spans="1:15">
      <c r="A24" s="1" t="s">
        <v>51</v>
      </c>
      <c r="B24" s="8">
        <v>1</v>
      </c>
      <c r="C24" s="8"/>
      <c r="D24" s="8"/>
      <c r="E24" s="8"/>
      <c r="F24" s="8"/>
      <c r="G24" s="8"/>
      <c r="H24" s="8"/>
      <c r="I24" s="8"/>
      <c r="J24" s="8">
        <v>3</v>
      </c>
      <c r="K24" s="8"/>
      <c r="L24" s="8"/>
      <c r="M24" s="8"/>
      <c r="N24" s="8"/>
      <c r="O24" s="2">
        <f t="shared" si="0"/>
        <v>4</v>
      </c>
    </row>
    <row r="25" spans="1:15" ht="13.9" customHeight="1">
      <c r="A25" s="1" t="s">
        <v>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 t="s">
        <v>104</v>
      </c>
      <c r="N25" s="8"/>
      <c r="O25" s="2">
        <f t="shared" si="0"/>
        <v>0</v>
      </c>
    </row>
    <row r="26" spans="1:15" ht="15" customHeight="1">
      <c r="A26" s="5" t="s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2">
        <f>SUM(O10:O25)</f>
        <v>213</v>
      </c>
    </row>
    <row r="27" spans="1:15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4"/>
    </row>
    <row r="28" spans="1:15">
      <c r="A28" s="79" t="s">
        <v>35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  <row r="29" spans="1:15" ht="14.45" customHeight="1">
      <c r="A29" s="63" t="s">
        <v>36</v>
      </c>
      <c r="B29" s="63" t="s">
        <v>63</v>
      </c>
      <c r="C29" s="63" t="s">
        <v>37</v>
      </c>
      <c r="D29" s="63" t="s">
        <v>38</v>
      </c>
      <c r="E29" s="63" t="s">
        <v>39</v>
      </c>
      <c r="F29" s="63" t="s">
        <v>40</v>
      </c>
      <c r="G29" s="70" t="s">
        <v>41</v>
      </c>
      <c r="H29" s="70" t="s">
        <v>42</v>
      </c>
      <c r="I29" s="70" t="s">
        <v>43</v>
      </c>
      <c r="J29" s="70"/>
      <c r="K29" s="63"/>
      <c r="L29" s="63"/>
      <c r="M29" s="63"/>
      <c r="N29" s="63"/>
      <c r="O29" s="64" t="s">
        <v>24</v>
      </c>
    </row>
    <row r="30" spans="1:15" ht="51.6" customHeight="1">
      <c r="A30" s="63"/>
      <c r="B30" s="63"/>
      <c r="C30" s="63"/>
      <c r="D30" s="63"/>
      <c r="E30" s="63"/>
      <c r="F30" s="63"/>
      <c r="G30" s="71"/>
      <c r="H30" s="71"/>
      <c r="I30" s="71"/>
      <c r="J30" s="71"/>
      <c r="K30" s="63"/>
      <c r="L30" s="63"/>
      <c r="M30" s="63"/>
      <c r="N30" s="63"/>
      <c r="O30" s="64"/>
    </row>
    <row r="31" spans="1:15" ht="15.75">
      <c r="A31" s="6" t="s">
        <v>44</v>
      </c>
      <c r="B31" s="10"/>
      <c r="C31" s="10"/>
      <c r="D31" s="10">
        <v>1</v>
      </c>
      <c r="E31" s="10"/>
      <c r="F31" s="10">
        <v>1</v>
      </c>
      <c r="G31" s="10">
        <v>1</v>
      </c>
      <c r="H31" s="10"/>
      <c r="I31" s="10"/>
      <c r="J31" s="10"/>
      <c r="K31" s="10"/>
      <c r="L31" s="10"/>
      <c r="M31" s="10"/>
      <c r="N31" s="10"/>
      <c r="O31" s="12">
        <f>SUM(B31:N31)</f>
        <v>3</v>
      </c>
    </row>
    <row r="32" spans="1:15" ht="15.75">
      <c r="A32" s="6" t="s">
        <v>45</v>
      </c>
      <c r="B32" s="10"/>
      <c r="C32" s="10">
        <v>1</v>
      </c>
      <c r="D32" s="10">
        <v>2</v>
      </c>
      <c r="E32" s="10"/>
      <c r="F32" s="10">
        <v>1</v>
      </c>
      <c r="G32" s="10"/>
      <c r="H32" s="10">
        <v>1</v>
      </c>
      <c r="I32" s="10"/>
      <c r="J32" s="10"/>
      <c r="K32" s="10"/>
      <c r="L32" s="10"/>
      <c r="M32" s="10"/>
      <c r="N32" s="10"/>
      <c r="O32" s="12">
        <f t="shared" ref="O32:O40" si="1">SUM(B32:N32)</f>
        <v>5</v>
      </c>
    </row>
    <row r="33" spans="1:15" ht="15.75">
      <c r="A33" s="6" t="s">
        <v>46</v>
      </c>
      <c r="B33" s="10"/>
      <c r="C33" s="10"/>
      <c r="D33" s="10"/>
      <c r="E33" s="10">
        <v>1</v>
      </c>
      <c r="F33" s="10">
        <v>1</v>
      </c>
      <c r="G33" s="10"/>
      <c r="H33" s="10"/>
      <c r="I33" s="10">
        <v>2</v>
      </c>
      <c r="J33" s="10"/>
      <c r="K33" s="10"/>
      <c r="L33" s="10"/>
      <c r="M33" s="10"/>
      <c r="N33" s="10"/>
      <c r="O33" s="12">
        <f t="shared" si="1"/>
        <v>4</v>
      </c>
    </row>
    <row r="34" spans="1:15" ht="15.75">
      <c r="A34" s="6" t="s">
        <v>47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2">
        <f t="shared" si="1"/>
        <v>0</v>
      </c>
    </row>
    <row r="35" spans="1:15" ht="15.75">
      <c r="A35" s="6" t="s">
        <v>48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2">
        <f t="shared" si="1"/>
        <v>0</v>
      </c>
    </row>
    <row r="36" spans="1:15" ht="15.75">
      <c r="A36" s="6" t="s">
        <v>33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10"/>
      <c r="M36" s="10"/>
      <c r="N36" s="10"/>
      <c r="O36" s="12">
        <f t="shared" si="1"/>
        <v>2</v>
      </c>
    </row>
    <row r="37" spans="1:15" ht="15.75">
      <c r="A37" s="6" t="s">
        <v>49</v>
      </c>
      <c r="B37" s="10"/>
      <c r="C37" s="10"/>
      <c r="D37" s="10"/>
      <c r="E37" s="10">
        <v>1</v>
      </c>
      <c r="F37" s="10">
        <v>1</v>
      </c>
      <c r="G37" s="10"/>
      <c r="H37" s="10"/>
      <c r="I37" s="10">
        <v>1</v>
      </c>
      <c r="J37" s="10"/>
      <c r="K37" s="10"/>
      <c r="L37" s="10"/>
      <c r="M37" s="10"/>
      <c r="N37" s="10"/>
      <c r="O37" s="12">
        <f t="shared" si="1"/>
        <v>3</v>
      </c>
    </row>
    <row r="38" spans="1:15" ht="15.75">
      <c r="A38" s="6" t="s">
        <v>50</v>
      </c>
      <c r="B38" s="10"/>
      <c r="C38" s="10"/>
      <c r="D38" s="10"/>
      <c r="E38" s="10"/>
      <c r="F38" s="10">
        <v>1</v>
      </c>
      <c r="G38" s="10"/>
      <c r="H38" s="10"/>
      <c r="I38" s="10"/>
      <c r="J38" s="10"/>
      <c r="K38" s="10"/>
      <c r="L38" s="10"/>
      <c r="M38" s="10"/>
      <c r="N38" s="10"/>
      <c r="O38" s="12">
        <f t="shared" si="1"/>
        <v>1</v>
      </c>
    </row>
    <row r="39" spans="1:15" ht="15.75">
      <c r="A39" s="7" t="s">
        <v>51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2">
        <f t="shared" si="1"/>
        <v>0</v>
      </c>
    </row>
    <row r="40" spans="1:15" ht="15.75">
      <c r="A40" s="1" t="s">
        <v>32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2">
        <f t="shared" si="1"/>
        <v>0</v>
      </c>
    </row>
    <row r="41" spans="1:15" ht="15.75">
      <c r="A41" s="11" t="s">
        <v>89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>
        <f>SUM(O31:O40)</f>
        <v>18</v>
      </c>
    </row>
    <row r="42" spans="1:15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>
      <c r="A43" s="66" t="s">
        <v>52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spans="1:15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</row>
    <row r="45" spans="1:15" ht="15.75">
      <c r="A45" s="55" t="s">
        <v>53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spans="1:15">
      <c r="A46" s="27" t="s">
        <v>96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9"/>
    </row>
    <row r="47" spans="1:15">
      <c r="A47" s="27" t="s">
        <v>72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8" spans="1:15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9"/>
    </row>
    <row r="49" spans="1:15" ht="15.75">
      <c r="A49" s="30" t="s">
        <v>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/>
    </row>
    <row r="50" spans="1:15" ht="15.75">
      <c r="A50" s="60" t="s">
        <v>55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>
      <c r="A51" s="27" t="s">
        <v>62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9"/>
    </row>
    <row r="52" spans="1:15" ht="15.75">
      <c r="A52" s="52" t="s">
        <v>56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4"/>
    </row>
    <row r="53" spans="1:15" ht="13.9" customHeight="1">
      <c r="A53" s="46" t="s">
        <v>65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8"/>
    </row>
    <row r="54" spans="1:15">
      <c r="A54" s="27" t="s">
        <v>64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/>
    </row>
    <row r="55" spans="1:15">
      <c r="A55" s="40" t="s">
        <v>70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2"/>
    </row>
    <row r="56" spans="1:15">
      <c r="A56" s="40" t="s">
        <v>77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2"/>
    </row>
    <row r="57" spans="1:15">
      <c r="A57" s="37" t="s">
        <v>66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</row>
    <row r="58" spans="1:15">
      <c r="A58" s="27" t="s">
        <v>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9"/>
    </row>
    <row r="59" spans="1:15">
      <c r="A59" s="27" t="s">
        <v>67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9"/>
    </row>
    <row r="60" spans="1:15">
      <c r="A60" s="27" t="s">
        <v>94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9"/>
    </row>
    <row r="61" spans="1:15">
      <c r="A61" s="27" t="s">
        <v>77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/>
    </row>
    <row r="62" spans="1:15">
      <c r="A62" s="37" t="s">
        <v>68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9"/>
    </row>
    <row r="63" spans="1:15">
      <c r="A63" s="27" t="s">
        <v>62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/>
    </row>
    <row r="64" spans="1:15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</row>
    <row r="65" spans="1:15" ht="15.75">
      <c r="A65" s="30" t="s">
        <v>69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2"/>
    </row>
    <row r="66" spans="1:15">
      <c r="A66" s="46" t="s">
        <v>71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8"/>
    </row>
    <row r="67" spans="1:15">
      <c r="A67" s="27" t="s">
        <v>97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/>
    </row>
    <row r="68" spans="1:15">
      <c r="A68" s="27" t="s">
        <v>98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9"/>
    </row>
    <row r="69" spans="1:15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9"/>
    </row>
    <row r="70" spans="1:15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1"/>
    </row>
    <row r="71" spans="1:15" ht="15.75">
      <c r="A71" s="30" t="s">
        <v>74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2"/>
    </row>
    <row r="72" spans="1:15">
      <c r="A72" s="37" t="s">
        <v>75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/>
    </row>
    <row r="73" spans="1:15">
      <c r="A73" s="27" t="s">
        <v>103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9"/>
    </row>
    <row r="74" spans="1:15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9"/>
    </row>
    <row r="75" spans="1:15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9"/>
    </row>
    <row r="76" spans="1:15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8"/>
    </row>
    <row r="77" spans="1:15" ht="15.75">
      <c r="A77" s="30" t="s">
        <v>76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2"/>
    </row>
    <row r="78" spans="1:15">
      <c r="A78" s="27" t="s">
        <v>78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9"/>
    </row>
    <row r="79" spans="1:15">
      <c r="A79" s="27" t="s">
        <v>99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9"/>
    </row>
    <row r="80" spans="1:15">
      <c r="A80" s="40" t="s">
        <v>100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2"/>
    </row>
    <row r="81" spans="1:15" ht="15.75">
      <c r="A81" s="30" t="s">
        <v>79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2"/>
    </row>
    <row r="82" spans="1:15">
      <c r="A82" s="37" t="s">
        <v>80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9"/>
    </row>
    <row r="83" spans="1:15">
      <c r="A83" s="27" t="s">
        <v>101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9"/>
    </row>
    <row r="84" spans="1:15">
      <c r="A84" s="27" t="s">
        <v>102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9"/>
    </row>
    <row r="85" spans="1:15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8"/>
    </row>
    <row r="86" spans="1:15" ht="15.75">
      <c r="A86" s="30" t="s">
        <v>81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2"/>
    </row>
    <row r="87" spans="1:15">
      <c r="A87" s="37" t="s">
        <v>82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9"/>
    </row>
    <row r="88" spans="1:15">
      <c r="A88" s="27" t="s">
        <v>91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9"/>
    </row>
    <row r="89" spans="1:15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8"/>
    </row>
    <row r="90" spans="1:15" ht="15.75">
      <c r="A90" s="30" t="s">
        <v>83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2"/>
    </row>
    <row r="91" spans="1:15">
      <c r="A91" s="33" t="s">
        <v>84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5"/>
    </row>
    <row r="92" spans="1:15">
      <c r="A92" s="27" t="s">
        <v>85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9"/>
    </row>
    <row r="93" spans="1:15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9"/>
    </row>
    <row r="94" spans="1:15" ht="15.7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1:15" ht="15.7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1"/>
    </row>
    <row r="96" spans="1:15" ht="15.75">
      <c r="A96" s="22" t="s">
        <v>86</v>
      </c>
      <c r="B96" s="22"/>
      <c r="C96" s="22"/>
      <c r="D96" s="22"/>
      <c r="E96" s="23" t="s">
        <v>87</v>
      </c>
      <c r="F96" s="23"/>
      <c r="G96" s="23"/>
      <c r="H96" s="23"/>
      <c r="I96" s="23"/>
      <c r="J96" s="23"/>
      <c r="K96" s="23"/>
      <c r="L96" s="23" t="s">
        <v>88</v>
      </c>
      <c r="M96" s="23"/>
      <c r="N96" s="23"/>
      <c r="O96" s="23"/>
    </row>
    <row r="97" spans="1:15">
      <c r="A97" s="24" t="s">
        <v>90</v>
      </c>
      <c r="B97" s="24"/>
      <c r="C97" s="24"/>
      <c r="D97" s="24"/>
      <c r="E97" s="25">
        <v>45364</v>
      </c>
      <c r="F97" s="24"/>
      <c r="G97" s="24"/>
      <c r="H97" s="24"/>
      <c r="I97" s="24"/>
      <c r="J97" s="24"/>
      <c r="K97" s="24"/>
      <c r="L97" s="26"/>
      <c r="M97" s="26"/>
      <c r="N97" s="26"/>
      <c r="O97" s="26"/>
    </row>
    <row r="98" spans="1: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6"/>
      <c r="M98" s="26"/>
      <c r="N98" s="26"/>
      <c r="O98" s="26"/>
    </row>
    <row r="99" spans="1: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</sheetData>
  <sheetProtection selectLockedCells="1" selectUnlockedCells="1"/>
  <mergeCells count="96">
    <mergeCell ref="A97:D98"/>
    <mergeCell ref="E97:K98"/>
    <mergeCell ref="L97:O98"/>
    <mergeCell ref="A99:O99"/>
    <mergeCell ref="A93:O93"/>
    <mergeCell ref="A94:O94"/>
    <mergeCell ref="A95:O95"/>
    <mergeCell ref="A96:D96"/>
    <mergeCell ref="E96:K96"/>
    <mergeCell ref="L96:O96"/>
    <mergeCell ref="A87:O87"/>
    <mergeCell ref="A88:O88"/>
    <mergeCell ref="A89:O89"/>
    <mergeCell ref="A90:O90"/>
    <mergeCell ref="A91:O91"/>
    <mergeCell ref="A92:O92"/>
    <mergeCell ref="A81:O81"/>
    <mergeCell ref="A82:O82"/>
    <mergeCell ref="A83:O83"/>
    <mergeCell ref="A84:O84"/>
    <mergeCell ref="A85:O85"/>
    <mergeCell ref="A86:O86"/>
    <mergeCell ref="A75:O75"/>
    <mergeCell ref="A76:O76"/>
    <mergeCell ref="A77:O77"/>
    <mergeCell ref="A78:O78"/>
    <mergeCell ref="A79:O79"/>
    <mergeCell ref="A80:O80"/>
    <mergeCell ref="A69:O69"/>
    <mergeCell ref="A70:O70"/>
    <mergeCell ref="A71:O71"/>
    <mergeCell ref="A72:O72"/>
    <mergeCell ref="A73:O73"/>
    <mergeCell ref="A74:O74"/>
    <mergeCell ref="A63:O63"/>
    <mergeCell ref="A64:O64"/>
    <mergeCell ref="A65:O65"/>
    <mergeCell ref="A66:O66"/>
    <mergeCell ref="A67:O67"/>
    <mergeCell ref="A68:O68"/>
    <mergeCell ref="A57:O57"/>
    <mergeCell ref="A58:O58"/>
    <mergeCell ref="A59:O59"/>
    <mergeCell ref="A60:O60"/>
    <mergeCell ref="A61:O61"/>
    <mergeCell ref="A62:O62"/>
    <mergeCell ref="A51:O51"/>
    <mergeCell ref="A52:O52"/>
    <mergeCell ref="A53:O53"/>
    <mergeCell ref="A54:O54"/>
    <mergeCell ref="A55:O55"/>
    <mergeCell ref="A56:O56"/>
    <mergeCell ref="A45:O45"/>
    <mergeCell ref="A46:O46"/>
    <mergeCell ref="A47:O47"/>
    <mergeCell ref="A48:O48"/>
    <mergeCell ref="A49:O49"/>
    <mergeCell ref="A50:O50"/>
    <mergeCell ref="L29:L30"/>
    <mergeCell ref="M29:M30"/>
    <mergeCell ref="N29:N30"/>
    <mergeCell ref="O29:O30"/>
    <mergeCell ref="A42:O42"/>
    <mergeCell ref="A43:O44"/>
    <mergeCell ref="F29:F30"/>
    <mergeCell ref="G29:G30"/>
    <mergeCell ref="H29:H30"/>
    <mergeCell ref="I29:I30"/>
    <mergeCell ref="J29:J30"/>
    <mergeCell ref="K29:K30"/>
    <mergeCell ref="A6:O6"/>
    <mergeCell ref="A7:O7"/>
    <mergeCell ref="A8:O8"/>
    <mergeCell ref="A27:O27"/>
    <mergeCell ref="A28:O28"/>
    <mergeCell ref="A29:A30"/>
    <mergeCell ref="B29:B30"/>
    <mergeCell ref="C29:C30"/>
    <mergeCell ref="D29:D30"/>
    <mergeCell ref="E29:E30"/>
    <mergeCell ref="A4:B4"/>
    <mergeCell ref="C4:K4"/>
    <mergeCell ref="L4:M4"/>
    <mergeCell ref="N4:O4"/>
    <mergeCell ref="A5:B5"/>
    <mergeCell ref="C5:K5"/>
    <mergeCell ref="L5:M5"/>
    <mergeCell ref="N5:O5"/>
    <mergeCell ref="A1:O1"/>
    <mergeCell ref="A2:B3"/>
    <mergeCell ref="C2:K2"/>
    <mergeCell ref="L2:M2"/>
    <mergeCell ref="N2:O2"/>
    <mergeCell ref="C3:K3"/>
    <mergeCell ref="L3:M3"/>
    <mergeCell ref="N3:O3"/>
  </mergeCells>
  <dataValidations count="4">
    <dataValidation type="whole" showInputMessage="1" showErrorMessage="1" sqref="J14" xr:uid="{65EFCD88-60A2-4EBD-AC3A-103574D52495}">
      <formula1>0</formula1>
      <formula2>100</formula2>
    </dataValidation>
    <dataValidation type="list" allowBlank="1" showInputMessage="1" showErrorMessage="1" sqref="J15:J25 B40:N40 B32:N38 B14:I25 K14:N25 B10:N11" xr:uid="{6FD5C10E-D781-4248-96C0-AEDFBD4E1715}">
      <formula1>"-,1,2,3,4,5,6,7,8,9,10,11,12,13,14,15,16,17,18,19,20,21,22,23,24,25,26,27,28,29,30,31,32,33,34,35,36,37,38,39,40"</formula1>
    </dataValidation>
    <dataValidation type="list" allowBlank="1" showInputMessage="1" showErrorMessage="1" sqref="L97:O98" xr:uid="{28349EC5-F49B-400B-8D24-24478787BCE2}">
      <formula1>"Jarosław Topolski,Piotr Jelonek"</formula1>
    </dataValidation>
    <dataValidation type="list" allowBlank="1" showInputMessage="1" showErrorMessage="1" sqref="N4:O4" xr:uid="{D99FAE65-E7FF-4453-AE41-E3DFB35CDB74}">
      <formula1>"Montag,Dienstag,Mittwoch,Donnerstag,Freitag,Samstag,Sonntag"</formula1>
    </dataValidation>
  </dataValidations>
  <pageMargins left="0.70866141732283461" right="0.70866141732283461" top="0.78740157480314965" bottom="0.78740157480314965" header="0.31496062992125984" footer="0.31496062992125984"/>
  <pageSetup paperSize="9" scale="73" fitToHeight="0" orientation="portrait" r:id="rId1"/>
  <rowBreaks count="1" manualBreakCount="1">
    <brk id="56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6341-4317-4E2E-A89D-0877775C22CE}">
  <sheetPr>
    <tabColor theme="6" tint="-0.249977111117893"/>
    <pageSetUpPr fitToPage="1"/>
  </sheetPr>
  <dimension ref="A1:O99"/>
  <sheetViews>
    <sheetView view="pageBreakPreview" topLeftCell="A94" zoomScaleNormal="100" zoomScaleSheetLayoutView="100" workbookViewId="0">
      <selection activeCell="M105" sqref="M105"/>
    </sheetView>
  </sheetViews>
  <sheetFormatPr baseColWidth="10" defaultColWidth="8.85546875" defaultRowHeight="15"/>
  <cols>
    <col min="1" max="1" width="22.140625" bestFit="1" customWidth="1"/>
    <col min="2" max="14" width="6.7109375" customWidth="1"/>
    <col min="15" max="15" width="8.85546875" customWidth="1"/>
  </cols>
  <sheetData>
    <row r="1" spans="1:15" ht="80.25" customHeight="1">
      <c r="A1" s="90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4.45" customHeight="1">
      <c r="A2" s="91" t="s">
        <v>8</v>
      </c>
      <c r="B2" s="92"/>
      <c r="C2" s="73" t="s">
        <v>10</v>
      </c>
      <c r="D2" s="73"/>
      <c r="E2" s="73"/>
      <c r="F2" s="73"/>
      <c r="G2" s="73"/>
      <c r="H2" s="73"/>
      <c r="I2" s="73"/>
      <c r="J2" s="73"/>
      <c r="K2" s="73"/>
      <c r="L2" s="74" t="s">
        <v>6</v>
      </c>
      <c r="M2" s="75"/>
      <c r="N2" s="95" t="s">
        <v>106</v>
      </c>
      <c r="O2" s="95"/>
    </row>
    <row r="3" spans="1:15" ht="14.45" customHeight="1">
      <c r="A3" s="93"/>
      <c r="B3" s="94"/>
      <c r="C3" s="73" t="s">
        <v>11</v>
      </c>
      <c r="D3" s="73"/>
      <c r="E3" s="73"/>
      <c r="F3" s="73"/>
      <c r="G3" s="73"/>
      <c r="H3" s="73"/>
      <c r="I3" s="73"/>
      <c r="J3" s="73"/>
      <c r="K3" s="73"/>
      <c r="L3" s="96" t="s">
        <v>0</v>
      </c>
      <c r="M3" s="96"/>
      <c r="N3" s="97">
        <v>45365</v>
      </c>
      <c r="O3" s="86"/>
    </row>
    <row r="4" spans="1:15" ht="15.6" customHeight="1">
      <c r="A4" s="72" t="s">
        <v>7</v>
      </c>
      <c r="B4" s="72"/>
      <c r="C4" s="73" t="s">
        <v>17</v>
      </c>
      <c r="D4" s="73"/>
      <c r="E4" s="73"/>
      <c r="F4" s="73"/>
      <c r="G4" s="73"/>
      <c r="H4" s="73"/>
      <c r="I4" s="73"/>
      <c r="J4" s="73"/>
      <c r="K4" s="73"/>
      <c r="L4" s="74" t="s">
        <v>1</v>
      </c>
      <c r="M4" s="75"/>
      <c r="N4" s="85" t="s">
        <v>92</v>
      </c>
      <c r="O4" s="86"/>
    </row>
    <row r="5" spans="1:15" ht="14.45" customHeight="1">
      <c r="A5" s="72"/>
      <c r="B5" s="72"/>
      <c r="C5" s="87"/>
      <c r="D5" s="87"/>
      <c r="E5" s="87"/>
      <c r="F5" s="87"/>
      <c r="G5" s="87"/>
      <c r="H5" s="87"/>
      <c r="I5" s="87"/>
      <c r="J5" s="87"/>
      <c r="K5" s="87"/>
      <c r="L5" s="88"/>
      <c r="M5" s="89"/>
      <c r="N5" s="88"/>
      <c r="O5" s="89"/>
    </row>
    <row r="6" spans="1:15">
      <c r="A6" s="7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8"/>
    </row>
    <row r="7" spans="1:15">
      <c r="A7" s="79" t="s">
        <v>9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</row>
    <row r="8" spans="1:15" ht="15.6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1:15" ht="81" customHeight="1">
      <c r="A9" s="3" t="s">
        <v>12</v>
      </c>
      <c r="B9" s="4" t="s">
        <v>95</v>
      </c>
      <c r="C9" s="4" t="s">
        <v>2</v>
      </c>
      <c r="D9" s="4" t="s">
        <v>3</v>
      </c>
      <c r="E9" s="4" t="s">
        <v>13</v>
      </c>
      <c r="F9" s="4" t="s">
        <v>18</v>
      </c>
      <c r="G9" s="4" t="s">
        <v>19</v>
      </c>
      <c r="H9" s="4" t="s">
        <v>20</v>
      </c>
      <c r="I9" s="4" t="s">
        <v>14</v>
      </c>
      <c r="J9" s="4" t="s">
        <v>15</v>
      </c>
      <c r="K9" s="4" t="s">
        <v>16</v>
      </c>
      <c r="L9" s="4" t="s">
        <v>21</v>
      </c>
      <c r="M9" s="4" t="s">
        <v>22</v>
      </c>
      <c r="N9" s="4" t="s">
        <v>23</v>
      </c>
      <c r="O9" s="9" t="s">
        <v>24</v>
      </c>
    </row>
    <row r="10" spans="1:15">
      <c r="A10" s="1" t="s">
        <v>60</v>
      </c>
      <c r="B10" s="8">
        <v>6</v>
      </c>
      <c r="C10" s="8">
        <v>1</v>
      </c>
      <c r="D10" s="8">
        <v>1</v>
      </c>
      <c r="E10" s="8"/>
      <c r="F10" s="8">
        <v>1</v>
      </c>
      <c r="G10" s="8">
        <v>1</v>
      </c>
      <c r="H10" s="8">
        <v>1</v>
      </c>
      <c r="I10" s="8"/>
      <c r="J10" s="8"/>
      <c r="K10" s="8"/>
      <c r="L10" s="8"/>
      <c r="M10" s="8"/>
      <c r="N10" s="8"/>
      <c r="O10" s="2">
        <f>SUM(B10:N10)</f>
        <v>11</v>
      </c>
    </row>
    <row r="11" spans="1:15">
      <c r="A11" s="1" t="s">
        <v>61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">
        <f t="shared" ref="O11:O25" si="0">SUM(B11:N11)</f>
        <v>0</v>
      </c>
    </row>
    <row r="12" spans="1:15">
      <c r="A12" s="1" t="s">
        <v>25</v>
      </c>
      <c r="B12" s="8">
        <v>1</v>
      </c>
      <c r="C12" s="8"/>
      <c r="D12" s="8"/>
      <c r="E12" s="8"/>
      <c r="F12" s="8"/>
      <c r="G12" s="8"/>
      <c r="H12" s="8"/>
      <c r="I12" s="8">
        <v>1</v>
      </c>
      <c r="J12" s="8">
        <v>4</v>
      </c>
      <c r="K12" s="8"/>
      <c r="L12" s="8"/>
      <c r="M12" s="8">
        <v>1</v>
      </c>
      <c r="N12" s="8"/>
      <c r="O12" s="2">
        <f t="shared" si="0"/>
        <v>7</v>
      </c>
    </row>
    <row r="13" spans="1:15">
      <c r="A13" s="1" t="s">
        <v>57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">
        <f t="shared" si="0"/>
        <v>0</v>
      </c>
    </row>
    <row r="14" spans="1:15">
      <c r="A14" s="1" t="s">
        <v>59</v>
      </c>
      <c r="B14" s="8">
        <v>1</v>
      </c>
      <c r="C14" s="8">
        <v>3</v>
      </c>
      <c r="D14" s="8">
        <v>1</v>
      </c>
      <c r="E14" s="8">
        <v>1</v>
      </c>
      <c r="F14" s="8"/>
      <c r="G14" s="8"/>
      <c r="H14" s="8"/>
      <c r="I14" s="8">
        <v>9</v>
      </c>
      <c r="J14" s="8">
        <v>70</v>
      </c>
      <c r="K14" s="8">
        <v>26</v>
      </c>
      <c r="L14" s="8"/>
      <c r="M14" s="8">
        <v>3</v>
      </c>
      <c r="N14" s="8">
        <v>11</v>
      </c>
      <c r="O14" s="2">
        <f t="shared" si="0"/>
        <v>125</v>
      </c>
    </row>
    <row r="15" spans="1:15">
      <c r="A15" s="1" t="s">
        <v>58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">
        <f t="shared" si="0"/>
        <v>0</v>
      </c>
    </row>
    <row r="16" spans="1:15">
      <c r="A16" s="1" t="s">
        <v>26</v>
      </c>
      <c r="B16" s="8">
        <v>2</v>
      </c>
      <c r="C16" s="8"/>
      <c r="D16" s="8"/>
      <c r="E16" s="8"/>
      <c r="F16" s="8"/>
      <c r="G16" s="8"/>
      <c r="H16" s="8"/>
      <c r="I16" s="8"/>
      <c r="J16" s="8">
        <v>16</v>
      </c>
      <c r="K16" s="8"/>
      <c r="L16" s="8"/>
      <c r="M16" s="8">
        <v>2</v>
      </c>
      <c r="N16" s="8"/>
      <c r="O16" s="2">
        <f t="shared" si="0"/>
        <v>20</v>
      </c>
    </row>
    <row r="17" spans="1:15">
      <c r="A17" s="1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">
        <f t="shared" si="0"/>
        <v>0</v>
      </c>
    </row>
    <row r="18" spans="1:15">
      <c r="A18" s="1" t="s">
        <v>28</v>
      </c>
      <c r="B18" s="8">
        <v>1</v>
      </c>
      <c r="C18" s="8"/>
      <c r="D18" s="8"/>
      <c r="E18" s="8"/>
      <c r="F18" s="8"/>
      <c r="G18" s="8"/>
      <c r="H18" s="8"/>
      <c r="I18" s="8"/>
      <c r="J18" s="8">
        <v>1</v>
      </c>
      <c r="K18" s="8"/>
      <c r="L18" s="8"/>
      <c r="M18" s="8"/>
      <c r="N18" s="8"/>
      <c r="O18" s="2">
        <f t="shared" si="0"/>
        <v>2</v>
      </c>
    </row>
    <row r="19" spans="1:15">
      <c r="A19" s="1" t="s">
        <v>29</v>
      </c>
      <c r="B19" s="8">
        <v>1</v>
      </c>
      <c r="C19" s="8"/>
      <c r="D19" s="8"/>
      <c r="E19" s="8"/>
      <c r="F19" s="8"/>
      <c r="G19" s="8"/>
      <c r="H19" s="8"/>
      <c r="I19" s="8">
        <v>3</v>
      </c>
      <c r="J19" s="8"/>
      <c r="K19" s="8"/>
      <c r="L19" s="8">
        <v>10</v>
      </c>
      <c r="M19" s="8"/>
      <c r="N19" s="8"/>
      <c r="O19" s="2">
        <f t="shared" si="0"/>
        <v>14</v>
      </c>
    </row>
    <row r="20" spans="1:15">
      <c r="A20" s="1" t="s">
        <v>30</v>
      </c>
      <c r="B20" s="8">
        <v>1</v>
      </c>
      <c r="C20" s="8">
        <v>1</v>
      </c>
      <c r="D20" s="8">
        <v>1</v>
      </c>
      <c r="E20" s="8"/>
      <c r="F20" s="8"/>
      <c r="G20" s="8"/>
      <c r="H20" s="8"/>
      <c r="I20" s="8" t="s">
        <v>104</v>
      </c>
      <c r="J20" s="8">
        <v>10</v>
      </c>
      <c r="K20" s="8">
        <v>3</v>
      </c>
      <c r="L20" s="8"/>
      <c r="M20" s="8"/>
      <c r="N20" s="8"/>
      <c r="O20" s="2">
        <f t="shared" si="0"/>
        <v>16</v>
      </c>
    </row>
    <row r="21" spans="1:15">
      <c r="A21" s="1" t="s">
        <v>31</v>
      </c>
      <c r="B21" s="8">
        <v>1</v>
      </c>
      <c r="C21" s="8"/>
      <c r="D21" s="8"/>
      <c r="E21" s="8"/>
      <c r="F21" s="8"/>
      <c r="G21" s="8"/>
      <c r="H21" s="8"/>
      <c r="I21" s="8"/>
      <c r="J21" s="8">
        <v>4</v>
      </c>
      <c r="K21" s="8"/>
      <c r="L21" s="8"/>
      <c r="M21" s="8"/>
      <c r="N21" s="8"/>
      <c r="O21" s="2">
        <f t="shared" si="0"/>
        <v>5</v>
      </c>
    </row>
    <row r="22" spans="1:15">
      <c r="A22" s="1" t="s">
        <v>32</v>
      </c>
      <c r="B22" s="8">
        <v>1</v>
      </c>
      <c r="C22" s="8"/>
      <c r="D22" s="8"/>
      <c r="E22" s="8"/>
      <c r="F22" s="8"/>
      <c r="G22" s="8"/>
      <c r="H22" s="8"/>
      <c r="I22" s="8"/>
      <c r="J22" s="8"/>
      <c r="K22" s="8">
        <v>5</v>
      </c>
      <c r="L22" s="8"/>
      <c r="M22" s="8"/>
      <c r="N22" s="8"/>
      <c r="O22" s="2">
        <f t="shared" si="0"/>
        <v>6</v>
      </c>
    </row>
    <row r="23" spans="1:15">
      <c r="A23" s="1" t="s">
        <v>33</v>
      </c>
      <c r="B23" s="8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>
        <v>6</v>
      </c>
      <c r="O23" s="2">
        <f t="shared" si="0"/>
        <v>7</v>
      </c>
    </row>
    <row r="24" spans="1:15">
      <c r="A24" s="1" t="s">
        <v>51</v>
      </c>
      <c r="B24" s="8">
        <v>1</v>
      </c>
      <c r="C24" s="8"/>
      <c r="D24" s="8"/>
      <c r="E24" s="8"/>
      <c r="F24" s="8"/>
      <c r="G24" s="8"/>
      <c r="H24" s="8"/>
      <c r="I24" s="8"/>
      <c r="J24" s="8" t="s">
        <v>104</v>
      </c>
      <c r="K24" s="8"/>
      <c r="L24" s="8"/>
      <c r="M24" s="8"/>
      <c r="N24" s="8"/>
      <c r="O24" s="2">
        <f t="shared" si="0"/>
        <v>1</v>
      </c>
    </row>
    <row r="25" spans="1:15" ht="13.9" customHeight="1">
      <c r="A25" s="1" t="s">
        <v>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 t="s">
        <v>104</v>
      </c>
      <c r="N25" s="8"/>
      <c r="O25" s="2">
        <f t="shared" si="0"/>
        <v>0</v>
      </c>
    </row>
    <row r="26" spans="1:15" ht="15" customHeight="1">
      <c r="A26" s="5" t="s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2">
        <f>SUM(O10:O25)</f>
        <v>214</v>
      </c>
    </row>
    <row r="27" spans="1:15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4"/>
    </row>
    <row r="28" spans="1:15">
      <c r="A28" s="79" t="s">
        <v>35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  <row r="29" spans="1:15" ht="14.45" customHeight="1">
      <c r="A29" s="63" t="s">
        <v>36</v>
      </c>
      <c r="B29" s="63" t="s">
        <v>63</v>
      </c>
      <c r="C29" s="63" t="s">
        <v>37</v>
      </c>
      <c r="D29" s="63" t="s">
        <v>38</v>
      </c>
      <c r="E29" s="63" t="s">
        <v>39</v>
      </c>
      <c r="F29" s="63" t="s">
        <v>40</v>
      </c>
      <c r="G29" s="70" t="s">
        <v>41</v>
      </c>
      <c r="H29" s="70" t="s">
        <v>42</v>
      </c>
      <c r="I29" s="70" t="s">
        <v>43</v>
      </c>
      <c r="J29" s="70"/>
      <c r="K29" s="63"/>
      <c r="L29" s="63"/>
      <c r="M29" s="63"/>
      <c r="N29" s="63"/>
      <c r="O29" s="64" t="s">
        <v>24</v>
      </c>
    </row>
    <row r="30" spans="1:15" ht="51.6" customHeight="1">
      <c r="A30" s="63"/>
      <c r="B30" s="63"/>
      <c r="C30" s="63"/>
      <c r="D30" s="63"/>
      <c r="E30" s="63"/>
      <c r="F30" s="63"/>
      <c r="G30" s="71"/>
      <c r="H30" s="71"/>
      <c r="I30" s="71"/>
      <c r="J30" s="71"/>
      <c r="K30" s="63"/>
      <c r="L30" s="63"/>
      <c r="M30" s="63"/>
      <c r="N30" s="63"/>
      <c r="O30" s="64"/>
    </row>
    <row r="31" spans="1:15" ht="15.75">
      <c r="A31" s="6" t="s">
        <v>44</v>
      </c>
      <c r="B31" s="10"/>
      <c r="C31" s="10"/>
      <c r="D31" s="10">
        <v>1</v>
      </c>
      <c r="E31" s="10"/>
      <c r="F31" s="10">
        <v>1</v>
      </c>
      <c r="G31" s="10">
        <v>1</v>
      </c>
      <c r="H31" s="10"/>
      <c r="I31" s="10"/>
      <c r="J31" s="10"/>
      <c r="K31" s="10"/>
      <c r="L31" s="10"/>
      <c r="M31" s="10"/>
      <c r="N31" s="10"/>
      <c r="O31" s="12">
        <f>SUM(B31:N31)</f>
        <v>3</v>
      </c>
    </row>
    <row r="32" spans="1:15" ht="15.75">
      <c r="A32" s="6" t="s">
        <v>45</v>
      </c>
      <c r="B32" s="10"/>
      <c r="C32" s="10">
        <v>1</v>
      </c>
      <c r="D32" s="10">
        <v>2</v>
      </c>
      <c r="E32" s="10"/>
      <c r="F32" s="10">
        <v>1</v>
      </c>
      <c r="G32" s="10"/>
      <c r="H32" s="10">
        <v>1</v>
      </c>
      <c r="I32" s="10"/>
      <c r="J32" s="10"/>
      <c r="K32" s="10"/>
      <c r="L32" s="10"/>
      <c r="M32" s="10"/>
      <c r="N32" s="10"/>
      <c r="O32" s="12">
        <f t="shared" ref="O32:O40" si="1">SUM(B32:N32)</f>
        <v>5</v>
      </c>
    </row>
    <row r="33" spans="1:15" ht="15.75">
      <c r="A33" s="6" t="s">
        <v>46</v>
      </c>
      <c r="B33" s="10"/>
      <c r="C33" s="10"/>
      <c r="D33" s="10"/>
      <c r="E33" s="10">
        <v>1</v>
      </c>
      <c r="F33" s="10">
        <v>1</v>
      </c>
      <c r="G33" s="10"/>
      <c r="H33" s="10"/>
      <c r="I33" s="10">
        <v>2</v>
      </c>
      <c r="J33" s="10"/>
      <c r="K33" s="10"/>
      <c r="L33" s="10"/>
      <c r="M33" s="10"/>
      <c r="N33" s="10"/>
      <c r="O33" s="12">
        <f t="shared" si="1"/>
        <v>4</v>
      </c>
    </row>
    <row r="34" spans="1:15" ht="15.75">
      <c r="A34" s="6" t="s">
        <v>47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2">
        <f t="shared" si="1"/>
        <v>0</v>
      </c>
    </row>
    <row r="35" spans="1:15" ht="15.75">
      <c r="A35" s="6" t="s">
        <v>48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2">
        <f t="shared" si="1"/>
        <v>0</v>
      </c>
    </row>
    <row r="36" spans="1:15" ht="15.75">
      <c r="A36" s="6" t="s">
        <v>33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10"/>
      <c r="M36" s="10"/>
      <c r="N36" s="10"/>
      <c r="O36" s="12">
        <f t="shared" si="1"/>
        <v>2</v>
      </c>
    </row>
    <row r="37" spans="1:15" ht="15.75">
      <c r="A37" s="6" t="s">
        <v>49</v>
      </c>
      <c r="B37" s="10"/>
      <c r="C37" s="10"/>
      <c r="D37" s="10"/>
      <c r="E37" s="10">
        <v>1</v>
      </c>
      <c r="F37" s="10">
        <v>1</v>
      </c>
      <c r="G37" s="10"/>
      <c r="H37" s="10"/>
      <c r="I37" s="10">
        <v>1</v>
      </c>
      <c r="J37" s="10"/>
      <c r="K37" s="10"/>
      <c r="L37" s="10"/>
      <c r="M37" s="10"/>
      <c r="N37" s="10"/>
      <c r="O37" s="12">
        <f t="shared" si="1"/>
        <v>3</v>
      </c>
    </row>
    <row r="38" spans="1:15" ht="15.75">
      <c r="A38" s="6" t="s">
        <v>50</v>
      </c>
      <c r="B38" s="10"/>
      <c r="C38" s="10"/>
      <c r="D38" s="10"/>
      <c r="E38" s="10"/>
      <c r="F38" s="10">
        <v>1</v>
      </c>
      <c r="G38" s="10"/>
      <c r="H38" s="10"/>
      <c r="I38" s="10"/>
      <c r="J38" s="10"/>
      <c r="K38" s="10"/>
      <c r="L38" s="10"/>
      <c r="M38" s="10"/>
      <c r="N38" s="10"/>
      <c r="O38" s="12">
        <f t="shared" si="1"/>
        <v>1</v>
      </c>
    </row>
    <row r="39" spans="1:15" ht="15.75">
      <c r="A39" s="7" t="s">
        <v>51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2">
        <f t="shared" si="1"/>
        <v>0</v>
      </c>
    </row>
    <row r="40" spans="1:15" ht="15.75">
      <c r="A40" s="1" t="s">
        <v>32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2">
        <f t="shared" si="1"/>
        <v>0</v>
      </c>
    </row>
    <row r="41" spans="1:15" ht="15.75">
      <c r="A41" s="11" t="s">
        <v>89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>
        <f>SUM(O31:O40)</f>
        <v>18</v>
      </c>
    </row>
    <row r="42" spans="1:15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>
      <c r="A43" s="66" t="s">
        <v>52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spans="1:15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</row>
    <row r="45" spans="1:15" ht="15.75">
      <c r="A45" s="55" t="s">
        <v>53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spans="1:15">
      <c r="A46" s="27" t="s">
        <v>96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9"/>
    </row>
    <row r="47" spans="1:15">
      <c r="A47" s="27" t="s">
        <v>72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8" spans="1:15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9"/>
    </row>
    <row r="49" spans="1:15" ht="15.75">
      <c r="A49" s="30" t="s">
        <v>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/>
    </row>
    <row r="50" spans="1:15" ht="15.75">
      <c r="A50" s="60" t="s">
        <v>55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>
      <c r="A51" s="27" t="s">
        <v>62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9"/>
    </row>
    <row r="52" spans="1:15" ht="15.75">
      <c r="A52" s="52" t="s">
        <v>56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4"/>
    </row>
    <row r="53" spans="1:15" ht="13.9" customHeight="1">
      <c r="A53" s="46" t="s">
        <v>65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8"/>
    </row>
    <row r="54" spans="1:15">
      <c r="A54" s="27" t="s">
        <v>64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/>
    </row>
    <row r="55" spans="1:15">
      <c r="A55" s="40" t="s">
        <v>70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2"/>
    </row>
    <row r="56" spans="1:15">
      <c r="A56" s="40" t="s">
        <v>77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2"/>
    </row>
    <row r="57" spans="1:15">
      <c r="A57" s="37" t="s">
        <v>66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</row>
    <row r="58" spans="1:15">
      <c r="A58" s="27" t="s">
        <v>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9"/>
    </row>
    <row r="59" spans="1:15">
      <c r="A59" s="27" t="s">
        <v>67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9"/>
    </row>
    <row r="60" spans="1:15">
      <c r="A60" s="27" t="s">
        <v>94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9"/>
    </row>
    <row r="61" spans="1:15">
      <c r="A61" s="27" t="s">
        <v>77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/>
    </row>
    <row r="62" spans="1:15">
      <c r="A62" s="37" t="s">
        <v>68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9"/>
    </row>
    <row r="63" spans="1:15">
      <c r="A63" s="27" t="s">
        <v>62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/>
    </row>
    <row r="64" spans="1:15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</row>
    <row r="65" spans="1:15" ht="15.75">
      <c r="A65" s="30" t="s">
        <v>69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2"/>
    </row>
    <row r="66" spans="1:15">
      <c r="A66" s="46" t="s">
        <v>71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8"/>
    </row>
    <row r="67" spans="1:15">
      <c r="A67" s="27" t="s">
        <v>97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/>
    </row>
    <row r="68" spans="1:15">
      <c r="A68" s="27" t="s">
        <v>98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9"/>
    </row>
    <row r="69" spans="1:15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9"/>
    </row>
    <row r="70" spans="1:15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1"/>
    </row>
    <row r="71" spans="1:15" ht="15.75">
      <c r="A71" s="30" t="s">
        <v>74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2"/>
    </row>
    <row r="72" spans="1:15">
      <c r="A72" s="37" t="s">
        <v>75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/>
    </row>
    <row r="73" spans="1:15">
      <c r="A73" s="27" t="s">
        <v>103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9"/>
    </row>
    <row r="74" spans="1:15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9"/>
    </row>
    <row r="75" spans="1:15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9"/>
    </row>
    <row r="76" spans="1:15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8"/>
    </row>
    <row r="77" spans="1:15" ht="15.75">
      <c r="A77" s="30" t="s">
        <v>76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2"/>
    </row>
    <row r="78" spans="1:15">
      <c r="A78" s="27" t="s">
        <v>78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9"/>
    </row>
    <row r="79" spans="1:15">
      <c r="A79" s="27" t="s">
        <v>99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9"/>
    </row>
    <row r="80" spans="1:15">
      <c r="A80" s="40" t="s">
        <v>100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2"/>
    </row>
    <row r="81" spans="1:15" ht="15.75">
      <c r="A81" s="30" t="s">
        <v>79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2"/>
    </row>
    <row r="82" spans="1:15">
      <c r="A82" s="37" t="s">
        <v>80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9"/>
    </row>
    <row r="83" spans="1:15">
      <c r="A83" s="27" t="s">
        <v>101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9"/>
    </row>
    <row r="84" spans="1:15">
      <c r="A84" s="27" t="s">
        <v>102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9"/>
    </row>
    <row r="85" spans="1:15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8"/>
    </row>
    <row r="86" spans="1:15" ht="15.75">
      <c r="A86" s="30" t="s">
        <v>81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2"/>
    </row>
    <row r="87" spans="1:15">
      <c r="A87" s="37" t="s">
        <v>82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9"/>
    </row>
    <row r="88" spans="1:15">
      <c r="A88" s="27" t="s">
        <v>91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9"/>
    </row>
    <row r="89" spans="1:15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8"/>
    </row>
    <row r="90" spans="1:15" ht="15.75">
      <c r="A90" s="30" t="s">
        <v>83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2"/>
    </row>
    <row r="91" spans="1:15">
      <c r="A91" s="33" t="s">
        <v>84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5"/>
    </row>
    <row r="92" spans="1:15">
      <c r="A92" s="27" t="s">
        <v>85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9"/>
    </row>
    <row r="93" spans="1:15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9"/>
    </row>
    <row r="94" spans="1:15" ht="15.7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1:15" ht="15.7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1"/>
    </row>
    <row r="96" spans="1:15" ht="15.75">
      <c r="A96" s="22" t="s">
        <v>86</v>
      </c>
      <c r="B96" s="22"/>
      <c r="C96" s="22"/>
      <c r="D96" s="22"/>
      <c r="E96" s="23" t="s">
        <v>87</v>
      </c>
      <c r="F96" s="23"/>
      <c r="G96" s="23"/>
      <c r="H96" s="23"/>
      <c r="I96" s="23"/>
      <c r="J96" s="23"/>
      <c r="K96" s="23"/>
      <c r="L96" s="23" t="s">
        <v>88</v>
      </c>
      <c r="M96" s="23"/>
      <c r="N96" s="23"/>
      <c r="O96" s="23"/>
    </row>
    <row r="97" spans="1:15">
      <c r="A97" s="24" t="s">
        <v>90</v>
      </c>
      <c r="B97" s="24"/>
      <c r="C97" s="24"/>
      <c r="D97" s="24"/>
      <c r="E97" s="25">
        <v>45365</v>
      </c>
      <c r="F97" s="24"/>
      <c r="G97" s="24"/>
      <c r="H97" s="24"/>
      <c r="I97" s="24"/>
      <c r="J97" s="24"/>
      <c r="K97" s="24"/>
      <c r="L97" s="26"/>
      <c r="M97" s="26"/>
      <c r="N97" s="26"/>
      <c r="O97" s="26"/>
    </row>
    <row r="98" spans="1: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6"/>
      <c r="M98" s="26"/>
      <c r="N98" s="26"/>
      <c r="O98" s="26"/>
    </row>
    <row r="99" spans="1: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</sheetData>
  <sheetProtection selectLockedCells="1" selectUnlockedCells="1"/>
  <mergeCells count="96">
    <mergeCell ref="A97:D98"/>
    <mergeCell ref="E97:K98"/>
    <mergeCell ref="L97:O98"/>
    <mergeCell ref="A99:O99"/>
    <mergeCell ref="A93:O93"/>
    <mergeCell ref="A94:O94"/>
    <mergeCell ref="A95:O95"/>
    <mergeCell ref="A96:D96"/>
    <mergeCell ref="E96:K96"/>
    <mergeCell ref="L96:O96"/>
    <mergeCell ref="A87:O87"/>
    <mergeCell ref="A88:O88"/>
    <mergeCell ref="A89:O89"/>
    <mergeCell ref="A90:O90"/>
    <mergeCell ref="A91:O91"/>
    <mergeCell ref="A92:O92"/>
    <mergeCell ref="A81:O81"/>
    <mergeCell ref="A82:O82"/>
    <mergeCell ref="A83:O83"/>
    <mergeCell ref="A84:O84"/>
    <mergeCell ref="A85:O85"/>
    <mergeCell ref="A86:O86"/>
    <mergeCell ref="A75:O75"/>
    <mergeCell ref="A76:O76"/>
    <mergeCell ref="A77:O77"/>
    <mergeCell ref="A78:O78"/>
    <mergeCell ref="A79:O79"/>
    <mergeCell ref="A80:O80"/>
    <mergeCell ref="A69:O69"/>
    <mergeCell ref="A70:O70"/>
    <mergeCell ref="A71:O71"/>
    <mergeCell ref="A72:O72"/>
    <mergeCell ref="A73:O73"/>
    <mergeCell ref="A74:O74"/>
    <mergeCell ref="A63:O63"/>
    <mergeCell ref="A64:O64"/>
    <mergeCell ref="A65:O65"/>
    <mergeCell ref="A66:O66"/>
    <mergeCell ref="A67:O67"/>
    <mergeCell ref="A68:O68"/>
    <mergeCell ref="A57:O57"/>
    <mergeCell ref="A58:O58"/>
    <mergeCell ref="A59:O59"/>
    <mergeCell ref="A60:O60"/>
    <mergeCell ref="A61:O61"/>
    <mergeCell ref="A62:O62"/>
    <mergeCell ref="A51:O51"/>
    <mergeCell ref="A52:O52"/>
    <mergeCell ref="A53:O53"/>
    <mergeCell ref="A54:O54"/>
    <mergeCell ref="A55:O55"/>
    <mergeCell ref="A56:O56"/>
    <mergeCell ref="A45:O45"/>
    <mergeCell ref="A46:O46"/>
    <mergeCell ref="A47:O47"/>
    <mergeCell ref="A48:O48"/>
    <mergeCell ref="A49:O49"/>
    <mergeCell ref="A50:O50"/>
    <mergeCell ref="L29:L30"/>
    <mergeCell ref="M29:M30"/>
    <mergeCell ref="N29:N30"/>
    <mergeCell ref="O29:O30"/>
    <mergeCell ref="A42:O42"/>
    <mergeCell ref="A43:O44"/>
    <mergeCell ref="F29:F30"/>
    <mergeCell ref="G29:G30"/>
    <mergeCell ref="H29:H30"/>
    <mergeCell ref="I29:I30"/>
    <mergeCell ref="J29:J30"/>
    <mergeCell ref="K29:K30"/>
    <mergeCell ref="A6:O6"/>
    <mergeCell ref="A7:O7"/>
    <mergeCell ref="A8:O8"/>
    <mergeCell ref="A27:O27"/>
    <mergeCell ref="A28:O28"/>
    <mergeCell ref="A29:A30"/>
    <mergeCell ref="B29:B30"/>
    <mergeCell ref="C29:C30"/>
    <mergeCell ref="D29:D30"/>
    <mergeCell ref="E29:E30"/>
    <mergeCell ref="A4:B4"/>
    <mergeCell ref="C4:K4"/>
    <mergeCell ref="L4:M4"/>
    <mergeCell ref="N4:O4"/>
    <mergeCell ref="A5:B5"/>
    <mergeCell ref="C5:K5"/>
    <mergeCell ref="L5:M5"/>
    <mergeCell ref="N5:O5"/>
    <mergeCell ref="A1:O1"/>
    <mergeCell ref="A2:B3"/>
    <mergeCell ref="C2:K2"/>
    <mergeCell ref="L2:M2"/>
    <mergeCell ref="N2:O2"/>
    <mergeCell ref="C3:K3"/>
    <mergeCell ref="L3:M3"/>
    <mergeCell ref="N3:O3"/>
  </mergeCells>
  <dataValidations count="4">
    <dataValidation type="list" allowBlank="1" showInputMessage="1" showErrorMessage="1" sqref="N4:O4" xr:uid="{89833B60-A1E7-4542-AB24-C81CFDB16A19}">
      <formula1>"Montag,Dienstag,Mittwoch,Donnerstag,Freitag,Samstag,Sonntag"</formula1>
    </dataValidation>
    <dataValidation type="list" allowBlank="1" showInputMessage="1" showErrorMessage="1" sqref="L97:O98" xr:uid="{ED7202C2-418D-406B-ADA1-E7B5C48DEB78}">
      <formula1>"Jarosław Topolski,Piotr Jelonek"</formula1>
    </dataValidation>
    <dataValidation type="list" allowBlank="1" showInputMessage="1" showErrorMessage="1" sqref="J15:J25 B40:N40 B32:N38 B14:I25 K14:N25 B10:N11" xr:uid="{19D22442-08EC-4D2B-AD77-09EBB5D23B12}">
      <formula1>"-,1,2,3,4,5,6,7,8,9,10,11,12,13,14,15,16,17,18,19,20,21,22,23,24,25,26,27,28,29,30,31,32,33,34,35,36,37,38,39,40"</formula1>
    </dataValidation>
    <dataValidation type="whole" showInputMessage="1" showErrorMessage="1" sqref="J14" xr:uid="{E53B9EC4-C445-4622-99BC-3342F46765FA}">
      <formula1>0</formula1>
      <formula2>100</formula2>
    </dataValidation>
  </dataValidations>
  <pageMargins left="0.70866141732283461" right="0.70866141732283461" top="0.78740157480314965" bottom="0.78740157480314965" header="0.31496062992125984" footer="0.31496062992125984"/>
  <pageSetup paperSize="9" scale="73" fitToHeight="0" orientation="portrait" r:id="rId1"/>
  <rowBreaks count="1" manualBreakCount="1">
    <brk id="56" max="1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D3DE-51A4-4C74-9DD5-BF323B3B1623}">
  <sheetPr>
    <tabColor theme="6" tint="-0.249977111117893"/>
    <pageSetUpPr fitToPage="1"/>
  </sheetPr>
  <dimension ref="A1:O99"/>
  <sheetViews>
    <sheetView view="pageBreakPreview" zoomScaleNormal="100" zoomScaleSheetLayoutView="100" workbookViewId="0">
      <selection activeCell="A22" sqref="A22:XFD22"/>
    </sheetView>
  </sheetViews>
  <sheetFormatPr baseColWidth="10" defaultColWidth="8.85546875" defaultRowHeight="15"/>
  <cols>
    <col min="1" max="1" width="22.140625" bestFit="1" customWidth="1"/>
    <col min="2" max="14" width="6.7109375" customWidth="1"/>
    <col min="15" max="15" width="8.85546875" customWidth="1"/>
  </cols>
  <sheetData>
    <row r="1" spans="1:15" ht="80.25" customHeight="1">
      <c r="A1" s="90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4.45" customHeight="1">
      <c r="A2" s="91" t="s">
        <v>8</v>
      </c>
      <c r="B2" s="92"/>
      <c r="C2" s="73" t="s">
        <v>10</v>
      </c>
      <c r="D2" s="73"/>
      <c r="E2" s="73"/>
      <c r="F2" s="73"/>
      <c r="G2" s="73"/>
      <c r="H2" s="73"/>
      <c r="I2" s="73"/>
      <c r="J2" s="73"/>
      <c r="K2" s="73"/>
      <c r="L2" s="74" t="s">
        <v>6</v>
      </c>
      <c r="M2" s="75"/>
      <c r="N2" s="95" t="s">
        <v>106</v>
      </c>
      <c r="O2" s="95"/>
    </row>
    <row r="3" spans="1:15" ht="14.45" customHeight="1">
      <c r="A3" s="93"/>
      <c r="B3" s="94"/>
      <c r="C3" s="73" t="s">
        <v>11</v>
      </c>
      <c r="D3" s="73"/>
      <c r="E3" s="73"/>
      <c r="F3" s="73"/>
      <c r="G3" s="73"/>
      <c r="H3" s="73"/>
      <c r="I3" s="73"/>
      <c r="J3" s="73"/>
      <c r="K3" s="73"/>
      <c r="L3" s="96" t="s">
        <v>0</v>
      </c>
      <c r="M3" s="96"/>
      <c r="N3" s="97">
        <v>45366</v>
      </c>
      <c r="O3" s="86"/>
    </row>
    <row r="4" spans="1:15" ht="15.6" customHeight="1">
      <c r="A4" s="72" t="s">
        <v>7</v>
      </c>
      <c r="B4" s="72"/>
      <c r="C4" s="73" t="s">
        <v>17</v>
      </c>
      <c r="D4" s="73"/>
      <c r="E4" s="73"/>
      <c r="F4" s="73"/>
      <c r="G4" s="73"/>
      <c r="H4" s="73"/>
      <c r="I4" s="73"/>
      <c r="J4" s="73"/>
      <c r="K4" s="73"/>
      <c r="L4" s="74" t="s">
        <v>1</v>
      </c>
      <c r="M4" s="75"/>
      <c r="N4" s="85" t="s">
        <v>93</v>
      </c>
      <c r="O4" s="86"/>
    </row>
    <row r="5" spans="1:15" ht="14.45" customHeight="1">
      <c r="A5" s="72"/>
      <c r="B5" s="72"/>
      <c r="C5" s="87"/>
      <c r="D5" s="87"/>
      <c r="E5" s="87"/>
      <c r="F5" s="87"/>
      <c r="G5" s="87"/>
      <c r="H5" s="87"/>
      <c r="I5" s="87"/>
      <c r="J5" s="87"/>
      <c r="K5" s="87"/>
      <c r="L5" s="88"/>
      <c r="M5" s="89"/>
      <c r="N5" s="88"/>
      <c r="O5" s="89"/>
    </row>
    <row r="6" spans="1:15">
      <c r="A6" s="7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8"/>
    </row>
    <row r="7" spans="1:15">
      <c r="A7" s="79" t="s">
        <v>9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</row>
    <row r="8" spans="1:15" ht="15.6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1:15" ht="81" customHeight="1">
      <c r="A9" s="3" t="s">
        <v>12</v>
      </c>
      <c r="B9" s="4" t="s">
        <v>95</v>
      </c>
      <c r="C9" s="4" t="s">
        <v>2</v>
      </c>
      <c r="D9" s="4" t="s">
        <v>3</v>
      </c>
      <c r="E9" s="4" t="s">
        <v>13</v>
      </c>
      <c r="F9" s="4" t="s">
        <v>18</v>
      </c>
      <c r="G9" s="4" t="s">
        <v>19</v>
      </c>
      <c r="H9" s="4" t="s">
        <v>20</v>
      </c>
      <c r="I9" s="4" t="s">
        <v>14</v>
      </c>
      <c r="J9" s="4" t="s">
        <v>15</v>
      </c>
      <c r="K9" s="4" t="s">
        <v>16</v>
      </c>
      <c r="L9" s="4" t="s">
        <v>21</v>
      </c>
      <c r="M9" s="4" t="s">
        <v>22</v>
      </c>
      <c r="N9" s="4" t="s">
        <v>23</v>
      </c>
      <c r="O9" s="9" t="s">
        <v>24</v>
      </c>
    </row>
    <row r="10" spans="1:15">
      <c r="A10" s="1" t="s">
        <v>60</v>
      </c>
      <c r="B10" s="8">
        <v>5</v>
      </c>
      <c r="C10" s="8">
        <v>1</v>
      </c>
      <c r="D10" s="8">
        <v>1</v>
      </c>
      <c r="E10" s="8"/>
      <c r="F10" s="8">
        <v>1</v>
      </c>
      <c r="G10" s="8">
        <v>1</v>
      </c>
      <c r="H10" s="8">
        <v>1</v>
      </c>
      <c r="I10" s="8"/>
      <c r="J10" s="8"/>
      <c r="K10" s="8"/>
      <c r="L10" s="8"/>
      <c r="M10" s="8"/>
      <c r="N10" s="8"/>
      <c r="O10" s="2">
        <f>SUM(B10:N10)</f>
        <v>10</v>
      </c>
    </row>
    <row r="11" spans="1:15">
      <c r="A11" s="1" t="s">
        <v>61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">
        <f t="shared" ref="O11:O25" si="0">SUM(B11:N11)</f>
        <v>0</v>
      </c>
    </row>
    <row r="12" spans="1:15">
      <c r="A12" s="1" t="s">
        <v>25</v>
      </c>
      <c r="B12" s="8">
        <v>1</v>
      </c>
      <c r="C12" s="8"/>
      <c r="D12" s="8"/>
      <c r="E12" s="8"/>
      <c r="F12" s="8"/>
      <c r="G12" s="8"/>
      <c r="H12" s="8"/>
      <c r="I12" s="8">
        <v>1</v>
      </c>
      <c r="J12" s="8">
        <v>4</v>
      </c>
      <c r="K12" s="8"/>
      <c r="L12" s="8"/>
      <c r="M12" s="8">
        <v>1</v>
      </c>
      <c r="N12" s="8"/>
      <c r="O12" s="2">
        <f t="shared" si="0"/>
        <v>7</v>
      </c>
    </row>
    <row r="13" spans="1:15">
      <c r="A13" s="1" t="s">
        <v>57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">
        <f t="shared" si="0"/>
        <v>0</v>
      </c>
    </row>
    <row r="14" spans="1:15">
      <c r="A14" s="1" t="s">
        <v>59</v>
      </c>
      <c r="B14" s="8">
        <v>1</v>
      </c>
      <c r="C14" s="8">
        <v>3</v>
      </c>
      <c r="D14" s="8">
        <v>1</v>
      </c>
      <c r="E14" s="8">
        <v>1</v>
      </c>
      <c r="F14" s="8"/>
      <c r="G14" s="8"/>
      <c r="H14" s="8"/>
      <c r="I14" s="8">
        <v>9</v>
      </c>
      <c r="J14" s="8">
        <v>68</v>
      </c>
      <c r="K14" s="8">
        <v>26</v>
      </c>
      <c r="L14" s="8"/>
      <c r="M14" s="8">
        <v>3</v>
      </c>
      <c r="N14" s="8">
        <v>11</v>
      </c>
      <c r="O14" s="2">
        <f t="shared" si="0"/>
        <v>123</v>
      </c>
    </row>
    <row r="15" spans="1:15">
      <c r="A15" s="1" t="s">
        <v>58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">
        <f t="shared" si="0"/>
        <v>0</v>
      </c>
    </row>
    <row r="16" spans="1:15">
      <c r="A16" s="1" t="s">
        <v>26</v>
      </c>
      <c r="B16" s="8">
        <v>2</v>
      </c>
      <c r="C16" s="8"/>
      <c r="D16" s="8"/>
      <c r="E16" s="8"/>
      <c r="F16" s="8"/>
      <c r="G16" s="8"/>
      <c r="H16" s="8"/>
      <c r="I16" s="8"/>
      <c r="J16" s="8">
        <v>14</v>
      </c>
      <c r="K16" s="8"/>
      <c r="L16" s="8"/>
      <c r="M16" s="8">
        <v>2</v>
      </c>
      <c r="N16" s="8"/>
      <c r="O16" s="2">
        <f t="shared" si="0"/>
        <v>18</v>
      </c>
    </row>
    <row r="17" spans="1:15">
      <c r="A17" s="1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">
        <f t="shared" si="0"/>
        <v>0</v>
      </c>
    </row>
    <row r="18" spans="1:15">
      <c r="A18" s="1" t="s">
        <v>28</v>
      </c>
      <c r="B18" s="8" t="s">
        <v>104</v>
      </c>
      <c r="C18" s="8"/>
      <c r="D18" s="8"/>
      <c r="E18" s="8"/>
      <c r="F18" s="8"/>
      <c r="G18" s="8"/>
      <c r="H18" s="8"/>
      <c r="I18" s="8"/>
      <c r="J18" s="8" t="s">
        <v>104</v>
      </c>
      <c r="K18" s="8"/>
      <c r="L18" s="8"/>
      <c r="M18" s="8"/>
      <c r="N18" s="8"/>
      <c r="O18" s="2">
        <f t="shared" si="0"/>
        <v>0</v>
      </c>
    </row>
    <row r="19" spans="1:15">
      <c r="A19" s="1" t="s">
        <v>29</v>
      </c>
      <c r="B19" s="8">
        <v>1</v>
      </c>
      <c r="C19" s="8"/>
      <c r="D19" s="8"/>
      <c r="E19" s="8"/>
      <c r="F19" s="8"/>
      <c r="G19" s="8"/>
      <c r="H19" s="8"/>
      <c r="I19" s="8">
        <v>3</v>
      </c>
      <c r="J19" s="8"/>
      <c r="K19" s="8"/>
      <c r="L19" s="8">
        <v>10</v>
      </c>
      <c r="M19" s="8"/>
      <c r="N19" s="8"/>
      <c r="O19" s="2">
        <f t="shared" si="0"/>
        <v>14</v>
      </c>
    </row>
    <row r="20" spans="1:15">
      <c r="A20" s="1" t="s">
        <v>30</v>
      </c>
      <c r="B20" s="8">
        <v>1</v>
      </c>
      <c r="C20" s="8" t="s">
        <v>104</v>
      </c>
      <c r="D20" s="8">
        <v>1</v>
      </c>
      <c r="E20" s="8"/>
      <c r="F20" s="8"/>
      <c r="G20" s="8"/>
      <c r="H20" s="8"/>
      <c r="I20" s="8" t="s">
        <v>104</v>
      </c>
      <c r="J20" s="8">
        <v>8</v>
      </c>
      <c r="K20" s="8">
        <v>3</v>
      </c>
      <c r="L20" s="8"/>
      <c r="M20" s="8"/>
      <c r="N20" s="8"/>
      <c r="O20" s="2">
        <f t="shared" si="0"/>
        <v>13</v>
      </c>
    </row>
    <row r="21" spans="1:15">
      <c r="A21" s="1" t="s">
        <v>31</v>
      </c>
      <c r="B21" s="8">
        <v>1</v>
      </c>
      <c r="C21" s="8"/>
      <c r="D21" s="8"/>
      <c r="E21" s="8"/>
      <c r="F21" s="8"/>
      <c r="G21" s="8"/>
      <c r="H21" s="8"/>
      <c r="I21" s="8"/>
      <c r="J21" s="8">
        <v>4</v>
      </c>
      <c r="K21" s="8"/>
      <c r="L21" s="8"/>
      <c r="M21" s="8"/>
      <c r="N21" s="8"/>
      <c r="O21" s="2">
        <f t="shared" si="0"/>
        <v>5</v>
      </c>
    </row>
    <row r="22" spans="1:15">
      <c r="A22" s="1" t="s">
        <v>32</v>
      </c>
      <c r="B22" s="8">
        <v>1</v>
      </c>
      <c r="C22" s="8"/>
      <c r="D22" s="8"/>
      <c r="E22" s="8"/>
      <c r="F22" s="8"/>
      <c r="G22" s="8"/>
      <c r="H22" s="8"/>
      <c r="I22" s="8"/>
      <c r="J22" s="8"/>
      <c r="K22" s="8">
        <v>5</v>
      </c>
      <c r="L22" s="8"/>
      <c r="M22" s="8"/>
      <c r="N22" s="8"/>
      <c r="O22" s="2">
        <f t="shared" si="0"/>
        <v>6</v>
      </c>
    </row>
    <row r="23" spans="1:15">
      <c r="A23" s="1" t="s">
        <v>33</v>
      </c>
      <c r="B23" s="8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>
        <v>6</v>
      </c>
      <c r="O23" s="2">
        <f t="shared" si="0"/>
        <v>7</v>
      </c>
    </row>
    <row r="24" spans="1:15">
      <c r="A24" s="1" t="s">
        <v>51</v>
      </c>
      <c r="B24" s="8">
        <v>1</v>
      </c>
      <c r="C24" s="8"/>
      <c r="D24" s="8"/>
      <c r="E24" s="8"/>
      <c r="F24" s="8"/>
      <c r="G24" s="8"/>
      <c r="H24" s="8"/>
      <c r="I24" s="8"/>
      <c r="J24" s="8" t="s">
        <v>104</v>
      </c>
      <c r="K24" s="8"/>
      <c r="L24" s="8"/>
      <c r="M24" s="8"/>
      <c r="N24" s="8"/>
      <c r="O24" s="2">
        <f t="shared" si="0"/>
        <v>1</v>
      </c>
    </row>
    <row r="25" spans="1:15" ht="13.9" customHeight="1">
      <c r="A25" s="1" t="s">
        <v>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 t="s">
        <v>104</v>
      </c>
      <c r="N25" s="8"/>
      <c r="O25" s="2">
        <f t="shared" si="0"/>
        <v>0</v>
      </c>
    </row>
    <row r="26" spans="1:15" ht="15" customHeight="1">
      <c r="A26" s="5" t="s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2">
        <f>SUM(O10:O25)</f>
        <v>204</v>
      </c>
    </row>
    <row r="27" spans="1:15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4"/>
    </row>
    <row r="28" spans="1:15">
      <c r="A28" s="79" t="s">
        <v>35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  <row r="29" spans="1:15" ht="14.45" customHeight="1">
      <c r="A29" s="63" t="s">
        <v>36</v>
      </c>
      <c r="B29" s="63" t="s">
        <v>63</v>
      </c>
      <c r="C29" s="63" t="s">
        <v>37</v>
      </c>
      <c r="D29" s="63" t="s">
        <v>38</v>
      </c>
      <c r="E29" s="63" t="s">
        <v>39</v>
      </c>
      <c r="F29" s="63" t="s">
        <v>40</v>
      </c>
      <c r="G29" s="70" t="s">
        <v>41</v>
      </c>
      <c r="H29" s="70" t="s">
        <v>42</v>
      </c>
      <c r="I29" s="70" t="s">
        <v>43</v>
      </c>
      <c r="J29" s="70"/>
      <c r="K29" s="63"/>
      <c r="L29" s="63"/>
      <c r="M29" s="63"/>
      <c r="N29" s="63"/>
      <c r="O29" s="64" t="s">
        <v>24</v>
      </c>
    </row>
    <row r="30" spans="1:15" ht="51.6" customHeight="1">
      <c r="A30" s="63"/>
      <c r="B30" s="63"/>
      <c r="C30" s="63"/>
      <c r="D30" s="63"/>
      <c r="E30" s="63"/>
      <c r="F30" s="63"/>
      <c r="G30" s="71"/>
      <c r="H30" s="71"/>
      <c r="I30" s="71"/>
      <c r="J30" s="71"/>
      <c r="K30" s="63"/>
      <c r="L30" s="63"/>
      <c r="M30" s="63"/>
      <c r="N30" s="63"/>
      <c r="O30" s="64"/>
    </row>
    <row r="31" spans="1:15" ht="15.75">
      <c r="A31" s="6" t="s">
        <v>44</v>
      </c>
      <c r="B31" s="10"/>
      <c r="C31" s="10"/>
      <c r="D31" s="10">
        <v>1</v>
      </c>
      <c r="E31" s="10"/>
      <c r="F31" s="10">
        <v>1</v>
      </c>
      <c r="G31" s="10">
        <v>1</v>
      </c>
      <c r="H31" s="10"/>
      <c r="I31" s="10"/>
      <c r="J31" s="10"/>
      <c r="K31" s="10"/>
      <c r="L31" s="10"/>
      <c r="M31" s="10"/>
      <c r="N31" s="10"/>
      <c r="O31" s="12">
        <f>SUM(B31:N31)</f>
        <v>3</v>
      </c>
    </row>
    <row r="32" spans="1:15" ht="15.75">
      <c r="A32" s="6" t="s">
        <v>45</v>
      </c>
      <c r="B32" s="10"/>
      <c r="C32" s="10">
        <v>1</v>
      </c>
      <c r="D32" s="10">
        <v>2</v>
      </c>
      <c r="E32" s="10"/>
      <c r="F32" s="10">
        <v>1</v>
      </c>
      <c r="G32" s="10"/>
      <c r="H32" s="10">
        <v>1</v>
      </c>
      <c r="I32" s="10"/>
      <c r="J32" s="10"/>
      <c r="K32" s="10"/>
      <c r="L32" s="10"/>
      <c r="M32" s="10"/>
      <c r="N32" s="10"/>
      <c r="O32" s="12">
        <f t="shared" ref="O32:O40" si="1">SUM(B32:N32)</f>
        <v>5</v>
      </c>
    </row>
    <row r="33" spans="1:15" ht="15.75">
      <c r="A33" s="6" t="s">
        <v>46</v>
      </c>
      <c r="B33" s="10"/>
      <c r="C33" s="10"/>
      <c r="D33" s="10"/>
      <c r="E33" s="10">
        <v>1</v>
      </c>
      <c r="F33" s="10">
        <v>1</v>
      </c>
      <c r="G33" s="10"/>
      <c r="H33" s="10"/>
      <c r="I33" s="10">
        <v>2</v>
      </c>
      <c r="J33" s="10"/>
      <c r="K33" s="10"/>
      <c r="L33" s="10"/>
      <c r="M33" s="10"/>
      <c r="N33" s="10"/>
      <c r="O33" s="12">
        <f t="shared" si="1"/>
        <v>4</v>
      </c>
    </row>
    <row r="34" spans="1:15" ht="15.75">
      <c r="A34" s="6" t="s">
        <v>47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2">
        <f t="shared" si="1"/>
        <v>0</v>
      </c>
    </row>
    <row r="35" spans="1:15" ht="15.75">
      <c r="A35" s="6" t="s">
        <v>48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2">
        <f t="shared" si="1"/>
        <v>0</v>
      </c>
    </row>
    <row r="36" spans="1:15" ht="15.75">
      <c r="A36" s="6" t="s">
        <v>33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10"/>
      <c r="M36" s="10"/>
      <c r="N36" s="10"/>
      <c r="O36" s="12">
        <f t="shared" si="1"/>
        <v>2</v>
      </c>
    </row>
    <row r="37" spans="1:15" ht="15.75">
      <c r="A37" s="6" t="s">
        <v>49</v>
      </c>
      <c r="B37" s="10"/>
      <c r="C37" s="10"/>
      <c r="D37" s="10"/>
      <c r="E37" s="10">
        <v>1</v>
      </c>
      <c r="F37" s="10">
        <v>1</v>
      </c>
      <c r="G37" s="10"/>
      <c r="H37" s="10"/>
      <c r="I37" s="10">
        <v>1</v>
      </c>
      <c r="J37" s="10"/>
      <c r="K37" s="10"/>
      <c r="L37" s="10"/>
      <c r="M37" s="10"/>
      <c r="N37" s="10"/>
      <c r="O37" s="12">
        <f t="shared" si="1"/>
        <v>3</v>
      </c>
    </row>
    <row r="38" spans="1:15" ht="15.75">
      <c r="A38" s="6" t="s">
        <v>50</v>
      </c>
      <c r="B38" s="10"/>
      <c r="C38" s="10"/>
      <c r="D38" s="10"/>
      <c r="E38" s="10"/>
      <c r="F38" s="10">
        <v>1</v>
      </c>
      <c r="G38" s="10"/>
      <c r="H38" s="10"/>
      <c r="I38" s="10"/>
      <c r="J38" s="10"/>
      <c r="K38" s="10"/>
      <c r="L38" s="10"/>
      <c r="M38" s="10"/>
      <c r="N38" s="10"/>
      <c r="O38" s="12">
        <f t="shared" si="1"/>
        <v>1</v>
      </c>
    </row>
    <row r="39" spans="1:15" ht="15.75">
      <c r="A39" s="7" t="s">
        <v>51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2">
        <f t="shared" si="1"/>
        <v>0</v>
      </c>
    </row>
    <row r="40" spans="1:15" ht="15.75">
      <c r="A40" s="1" t="s">
        <v>32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2">
        <f t="shared" si="1"/>
        <v>0</v>
      </c>
    </row>
    <row r="41" spans="1:15" ht="15.75">
      <c r="A41" s="11" t="s">
        <v>89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>
        <f>SUM(O31:O40)</f>
        <v>18</v>
      </c>
    </row>
    <row r="42" spans="1:15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>
      <c r="A43" s="66" t="s">
        <v>52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spans="1:15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</row>
    <row r="45" spans="1:15" ht="15.75">
      <c r="A45" s="55" t="s">
        <v>53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spans="1:15">
      <c r="A46" s="27" t="s">
        <v>96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9"/>
    </row>
    <row r="47" spans="1:15">
      <c r="A47" s="27" t="s">
        <v>72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8" spans="1:15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9"/>
    </row>
    <row r="49" spans="1:15" ht="15.75">
      <c r="A49" s="30" t="s">
        <v>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/>
    </row>
    <row r="50" spans="1:15" ht="15.75">
      <c r="A50" s="60" t="s">
        <v>55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>
      <c r="A51" s="27" t="s">
        <v>62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9"/>
    </row>
    <row r="52" spans="1:15" ht="15.75">
      <c r="A52" s="52" t="s">
        <v>56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4"/>
    </row>
    <row r="53" spans="1:15" ht="13.9" customHeight="1">
      <c r="A53" s="46" t="s">
        <v>65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8"/>
    </row>
    <row r="54" spans="1:15">
      <c r="A54" s="27" t="s">
        <v>64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/>
    </row>
    <row r="55" spans="1:15">
      <c r="A55" s="40" t="s">
        <v>70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2"/>
    </row>
    <row r="56" spans="1:15">
      <c r="A56" s="40" t="s">
        <v>77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2"/>
    </row>
    <row r="57" spans="1:15">
      <c r="A57" s="37" t="s">
        <v>66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</row>
    <row r="58" spans="1:15">
      <c r="A58" s="27" t="s">
        <v>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9"/>
    </row>
    <row r="59" spans="1:15">
      <c r="A59" s="27" t="s">
        <v>67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9"/>
    </row>
    <row r="60" spans="1:15">
      <c r="A60" s="27" t="s">
        <v>94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9"/>
    </row>
    <row r="61" spans="1:15">
      <c r="A61" s="27" t="s">
        <v>77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/>
    </row>
    <row r="62" spans="1:15">
      <c r="A62" s="37" t="s">
        <v>68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9"/>
    </row>
    <row r="63" spans="1:15">
      <c r="A63" s="27" t="s">
        <v>62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/>
    </row>
    <row r="64" spans="1:15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</row>
    <row r="65" spans="1:15" ht="15.75">
      <c r="A65" s="30" t="s">
        <v>69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2"/>
    </row>
    <row r="66" spans="1:15">
      <c r="A66" s="46" t="s">
        <v>71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8"/>
    </row>
    <row r="67" spans="1:15">
      <c r="A67" s="27" t="s">
        <v>97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/>
    </row>
    <row r="68" spans="1:15">
      <c r="A68" s="27" t="s">
        <v>98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9"/>
    </row>
    <row r="69" spans="1:15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9"/>
    </row>
    <row r="70" spans="1:15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1"/>
    </row>
    <row r="71" spans="1:15" ht="15.75">
      <c r="A71" s="30" t="s">
        <v>74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2"/>
    </row>
    <row r="72" spans="1:15">
      <c r="A72" s="37" t="s">
        <v>75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/>
    </row>
    <row r="73" spans="1:15">
      <c r="A73" s="27" t="s">
        <v>103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9"/>
    </row>
    <row r="74" spans="1:15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9"/>
    </row>
    <row r="75" spans="1:15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9"/>
    </row>
    <row r="76" spans="1:15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8"/>
    </row>
    <row r="77" spans="1:15" ht="15.75">
      <c r="A77" s="30" t="s">
        <v>76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2"/>
    </row>
    <row r="78" spans="1:15">
      <c r="A78" s="27" t="s">
        <v>78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9"/>
    </row>
    <row r="79" spans="1:15">
      <c r="A79" s="27" t="s">
        <v>99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9"/>
    </row>
    <row r="80" spans="1:15">
      <c r="A80" s="40" t="s">
        <v>100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2"/>
    </row>
    <row r="81" spans="1:15" ht="15.75">
      <c r="A81" s="30" t="s">
        <v>79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2"/>
    </row>
    <row r="82" spans="1:15">
      <c r="A82" s="37" t="s">
        <v>80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9"/>
    </row>
    <row r="83" spans="1:15">
      <c r="A83" s="27" t="s">
        <v>101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9"/>
    </row>
    <row r="84" spans="1:15">
      <c r="A84" s="27" t="s">
        <v>102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9"/>
    </row>
    <row r="85" spans="1:15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8"/>
    </row>
    <row r="86" spans="1:15" ht="15.75">
      <c r="A86" s="30" t="s">
        <v>81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2"/>
    </row>
    <row r="87" spans="1:15">
      <c r="A87" s="37" t="s">
        <v>82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9"/>
    </row>
    <row r="88" spans="1:15">
      <c r="A88" s="27" t="s">
        <v>91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9"/>
    </row>
    <row r="89" spans="1:15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8"/>
    </row>
    <row r="90" spans="1:15" ht="15.75">
      <c r="A90" s="30" t="s">
        <v>83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2"/>
    </row>
    <row r="91" spans="1:15">
      <c r="A91" s="33" t="s">
        <v>84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5"/>
    </row>
    <row r="92" spans="1:15">
      <c r="A92" s="27" t="s">
        <v>85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9"/>
    </row>
    <row r="93" spans="1:15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9"/>
    </row>
    <row r="94" spans="1:15" ht="15.7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1:15" ht="15.7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1"/>
    </row>
    <row r="96" spans="1:15" ht="15.75">
      <c r="A96" s="22" t="s">
        <v>86</v>
      </c>
      <c r="B96" s="22"/>
      <c r="C96" s="22"/>
      <c r="D96" s="22"/>
      <c r="E96" s="23" t="s">
        <v>87</v>
      </c>
      <c r="F96" s="23"/>
      <c r="G96" s="23"/>
      <c r="H96" s="23"/>
      <c r="I96" s="23"/>
      <c r="J96" s="23"/>
      <c r="K96" s="23"/>
      <c r="L96" s="23" t="s">
        <v>88</v>
      </c>
      <c r="M96" s="23"/>
      <c r="N96" s="23"/>
      <c r="O96" s="23"/>
    </row>
    <row r="97" spans="1:15">
      <c r="A97" s="24" t="s">
        <v>90</v>
      </c>
      <c r="B97" s="24"/>
      <c r="C97" s="24"/>
      <c r="D97" s="24"/>
      <c r="E97" s="25">
        <v>45366</v>
      </c>
      <c r="F97" s="24"/>
      <c r="G97" s="24"/>
      <c r="H97" s="24"/>
      <c r="I97" s="24"/>
      <c r="J97" s="24"/>
      <c r="K97" s="24"/>
      <c r="L97" s="26"/>
      <c r="M97" s="26"/>
      <c r="N97" s="26"/>
      <c r="O97" s="26"/>
    </row>
    <row r="98" spans="1: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6"/>
      <c r="M98" s="26"/>
      <c r="N98" s="26"/>
      <c r="O98" s="26"/>
    </row>
    <row r="99" spans="1: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</sheetData>
  <sheetProtection selectLockedCells="1" selectUnlockedCells="1"/>
  <mergeCells count="96">
    <mergeCell ref="A97:D98"/>
    <mergeCell ref="E97:K98"/>
    <mergeCell ref="L97:O98"/>
    <mergeCell ref="A99:O99"/>
    <mergeCell ref="A93:O93"/>
    <mergeCell ref="A94:O94"/>
    <mergeCell ref="A95:O95"/>
    <mergeCell ref="A96:D96"/>
    <mergeCell ref="E96:K96"/>
    <mergeCell ref="L96:O96"/>
    <mergeCell ref="A87:O87"/>
    <mergeCell ref="A88:O88"/>
    <mergeCell ref="A89:O89"/>
    <mergeCell ref="A90:O90"/>
    <mergeCell ref="A91:O91"/>
    <mergeCell ref="A92:O92"/>
    <mergeCell ref="A81:O81"/>
    <mergeCell ref="A82:O82"/>
    <mergeCell ref="A83:O83"/>
    <mergeCell ref="A84:O84"/>
    <mergeCell ref="A85:O85"/>
    <mergeCell ref="A86:O86"/>
    <mergeCell ref="A75:O75"/>
    <mergeCell ref="A76:O76"/>
    <mergeCell ref="A77:O77"/>
    <mergeCell ref="A78:O78"/>
    <mergeCell ref="A79:O79"/>
    <mergeCell ref="A80:O80"/>
    <mergeCell ref="A69:O69"/>
    <mergeCell ref="A70:O70"/>
    <mergeCell ref="A71:O71"/>
    <mergeCell ref="A72:O72"/>
    <mergeCell ref="A73:O73"/>
    <mergeCell ref="A74:O74"/>
    <mergeCell ref="A63:O63"/>
    <mergeCell ref="A64:O64"/>
    <mergeCell ref="A65:O65"/>
    <mergeCell ref="A66:O66"/>
    <mergeCell ref="A67:O67"/>
    <mergeCell ref="A68:O68"/>
    <mergeCell ref="A57:O57"/>
    <mergeCell ref="A58:O58"/>
    <mergeCell ref="A59:O59"/>
    <mergeCell ref="A60:O60"/>
    <mergeCell ref="A61:O61"/>
    <mergeCell ref="A62:O62"/>
    <mergeCell ref="A51:O51"/>
    <mergeCell ref="A52:O52"/>
    <mergeCell ref="A53:O53"/>
    <mergeCell ref="A54:O54"/>
    <mergeCell ref="A55:O55"/>
    <mergeCell ref="A56:O56"/>
    <mergeCell ref="A45:O45"/>
    <mergeCell ref="A46:O46"/>
    <mergeCell ref="A47:O47"/>
    <mergeCell ref="A48:O48"/>
    <mergeCell ref="A49:O49"/>
    <mergeCell ref="A50:O50"/>
    <mergeCell ref="L29:L30"/>
    <mergeCell ref="M29:M30"/>
    <mergeCell ref="N29:N30"/>
    <mergeCell ref="O29:O30"/>
    <mergeCell ref="A42:O42"/>
    <mergeCell ref="A43:O44"/>
    <mergeCell ref="F29:F30"/>
    <mergeCell ref="G29:G30"/>
    <mergeCell ref="H29:H30"/>
    <mergeCell ref="I29:I30"/>
    <mergeCell ref="J29:J30"/>
    <mergeCell ref="K29:K30"/>
    <mergeCell ref="A6:O6"/>
    <mergeCell ref="A7:O7"/>
    <mergeCell ref="A8:O8"/>
    <mergeCell ref="A27:O27"/>
    <mergeCell ref="A28:O28"/>
    <mergeCell ref="A29:A30"/>
    <mergeCell ref="B29:B30"/>
    <mergeCell ref="C29:C30"/>
    <mergeCell ref="D29:D30"/>
    <mergeCell ref="E29:E30"/>
    <mergeCell ref="A4:B4"/>
    <mergeCell ref="C4:K4"/>
    <mergeCell ref="L4:M4"/>
    <mergeCell ref="N4:O4"/>
    <mergeCell ref="A5:B5"/>
    <mergeCell ref="C5:K5"/>
    <mergeCell ref="L5:M5"/>
    <mergeCell ref="N5:O5"/>
    <mergeCell ref="A1:O1"/>
    <mergeCell ref="A2:B3"/>
    <mergeCell ref="C2:K2"/>
    <mergeCell ref="L2:M2"/>
    <mergeCell ref="N2:O2"/>
    <mergeCell ref="C3:K3"/>
    <mergeCell ref="L3:M3"/>
    <mergeCell ref="N3:O3"/>
  </mergeCells>
  <dataValidations count="4">
    <dataValidation type="whole" showInputMessage="1" showErrorMessage="1" sqref="J14" xr:uid="{3FA6C250-2796-49F0-9FE0-5E0B1A73ACA2}">
      <formula1>0</formula1>
      <formula2>100</formula2>
    </dataValidation>
    <dataValidation type="list" allowBlank="1" showInputMessage="1" showErrorMessage="1" sqref="J15:J25 B40:N40 B32:N38 B14:I25 K14:N25 B10:N11" xr:uid="{1E3CCA05-E69D-4E42-BA74-B3131E8E7A32}">
      <formula1>"-,1,2,3,4,5,6,7,8,9,10,11,12,13,14,15,16,17,18,19,20,21,22,23,24,25,26,27,28,29,30,31,32,33,34,35,36,37,38,39,40"</formula1>
    </dataValidation>
    <dataValidation type="list" allowBlank="1" showInputMessage="1" showErrorMessage="1" sqref="L97:O98" xr:uid="{4C81ACDD-D08D-4311-B9B0-CADDDE0CA27B}">
      <formula1>"Jarosław Topolski,Piotr Jelonek"</formula1>
    </dataValidation>
    <dataValidation type="list" allowBlank="1" showInputMessage="1" showErrorMessage="1" sqref="N4:O4" xr:uid="{96534566-D22F-496B-B527-D5CA6DA8675A}">
      <formula1>"Montag,Dienstag,Mittwoch,Donnerstag,Freitag,Samstag,Sonntag"</formula1>
    </dataValidation>
  </dataValidations>
  <pageMargins left="0.70866141732283461" right="0.70866141732283461" top="0.78740157480314965" bottom="0.78740157480314965" header="0.31496062992125984" footer="0.31496062992125984"/>
  <pageSetup paperSize="9" scale="73" fitToHeight="0" orientation="portrait" r:id="rId1"/>
  <rowBreaks count="1" manualBreakCount="1">
    <brk id="56" max="1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88BB-E16A-42A7-B90C-F01D375D9F73}">
  <sheetPr>
    <tabColor theme="6" tint="-0.249977111117893"/>
    <pageSetUpPr fitToPage="1"/>
  </sheetPr>
  <dimension ref="A1:O99"/>
  <sheetViews>
    <sheetView tabSelected="1" view="pageBreakPreview" topLeftCell="A9" zoomScaleNormal="100" zoomScaleSheetLayoutView="100" workbookViewId="0">
      <selection activeCell="F15" sqref="F15"/>
    </sheetView>
  </sheetViews>
  <sheetFormatPr baseColWidth="10" defaultColWidth="8.85546875" defaultRowHeight="15"/>
  <cols>
    <col min="1" max="1" width="22.140625" bestFit="1" customWidth="1"/>
    <col min="2" max="14" width="6.7109375" customWidth="1"/>
    <col min="15" max="15" width="8.85546875" customWidth="1"/>
  </cols>
  <sheetData>
    <row r="1" spans="1:15" ht="80.25" customHeight="1">
      <c r="A1" s="90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4.45" customHeight="1">
      <c r="A2" s="91" t="s">
        <v>8</v>
      </c>
      <c r="B2" s="92"/>
      <c r="C2" s="73" t="s">
        <v>10</v>
      </c>
      <c r="D2" s="73"/>
      <c r="E2" s="73"/>
      <c r="F2" s="73"/>
      <c r="G2" s="73"/>
      <c r="H2" s="73"/>
      <c r="I2" s="73"/>
      <c r="J2" s="73"/>
      <c r="K2" s="73"/>
      <c r="L2" s="74" t="s">
        <v>6</v>
      </c>
      <c r="M2" s="75"/>
      <c r="N2" s="95" t="s">
        <v>106</v>
      </c>
      <c r="O2" s="95"/>
    </row>
    <row r="3" spans="1:15" ht="14.45" customHeight="1">
      <c r="A3" s="93"/>
      <c r="B3" s="94"/>
      <c r="C3" s="73" t="s">
        <v>11</v>
      </c>
      <c r="D3" s="73"/>
      <c r="E3" s="73"/>
      <c r="F3" s="73"/>
      <c r="G3" s="73"/>
      <c r="H3" s="73"/>
      <c r="I3" s="73"/>
      <c r="J3" s="73"/>
      <c r="K3" s="73"/>
      <c r="L3" s="96" t="s">
        <v>0</v>
      </c>
      <c r="M3" s="96"/>
      <c r="N3" s="97">
        <v>45367</v>
      </c>
      <c r="O3" s="86"/>
    </row>
    <row r="4" spans="1:15" ht="15.6" customHeight="1">
      <c r="A4" s="72" t="s">
        <v>7</v>
      </c>
      <c r="B4" s="72"/>
      <c r="C4" s="73" t="s">
        <v>17</v>
      </c>
      <c r="D4" s="73"/>
      <c r="E4" s="73"/>
      <c r="F4" s="73"/>
      <c r="G4" s="73"/>
      <c r="H4" s="73"/>
      <c r="I4" s="73"/>
      <c r="J4" s="73"/>
      <c r="K4" s="73"/>
      <c r="L4" s="74" t="s">
        <v>1</v>
      </c>
      <c r="M4" s="75"/>
      <c r="N4" s="85" t="s">
        <v>107</v>
      </c>
      <c r="O4" s="86"/>
    </row>
    <row r="5" spans="1:15" ht="14.45" customHeight="1">
      <c r="A5" s="72"/>
      <c r="B5" s="72"/>
      <c r="C5" s="87"/>
      <c r="D5" s="87"/>
      <c r="E5" s="87"/>
      <c r="F5" s="87"/>
      <c r="G5" s="87"/>
      <c r="H5" s="87"/>
      <c r="I5" s="87"/>
      <c r="J5" s="87"/>
      <c r="K5" s="87"/>
      <c r="L5" s="88"/>
      <c r="M5" s="89"/>
      <c r="N5" s="88"/>
      <c r="O5" s="89"/>
    </row>
    <row r="6" spans="1:15">
      <c r="A6" s="7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8"/>
    </row>
    <row r="7" spans="1:15">
      <c r="A7" s="79" t="s">
        <v>9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</row>
    <row r="8" spans="1:15" ht="15.6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1:15" ht="81" customHeight="1">
      <c r="A9" s="3" t="s">
        <v>12</v>
      </c>
      <c r="B9" s="4" t="s">
        <v>95</v>
      </c>
      <c r="C9" s="4" t="s">
        <v>2</v>
      </c>
      <c r="D9" s="4" t="s">
        <v>3</v>
      </c>
      <c r="E9" s="4" t="s">
        <v>13</v>
      </c>
      <c r="F9" s="4" t="s">
        <v>18</v>
      </c>
      <c r="G9" s="4" t="s">
        <v>19</v>
      </c>
      <c r="H9" s="4" t="s">
        <v>20</v>
      </c>
      <c r="I9" s="4" t="s">
        <v>14</v>
      </c>
      <c r="J9" s="4" t="s">
        <v>15</v>
      </c>
      <c r="K9" s="4" t="s">
        <v>16</v>
      </c>
      <c r="L9" s="4" t="s">
        <v>21</v>
      </c>
      <c r="M9" s="4" t="s">
        <v>22</v>
      </c>
      <c r="N9" s="4" t="s">
        <v>23</v>
      </c>
      <c r="O9" s="9" t="s">
        <v>24</v>
      </c>
    </row>
    <row r="10" spans="1:15">
      <c r="A10" s="1" t="s">
        <v>60</v>
      </c>
      <c r="B10" s="8">
        <v>1</v>
      </c>
      <c r="C10" s="8">
        <v>1</v>
      </c>
      <c r="D10" s="8" t="s">
        <v>104</v>
      </c>
      <c r="E10" s="8"/>
      <c r="F10" s="8" t="s">
        <v>104</v>
      </c>
      <c r="G10" s="8" t="s">
        <v>104</v>
      </c>
      <c r="H10" s="8">
        <v>1</v>
      </c>
      <c r="I10" s="8"/>
      <c r="J10" s="8"/>
      <c r="K10" s="8"/>
      <c r="L10" s="8"/>
      <c r="M10" s="8"/>
      <c r="N10" s="8"/>
      <c r="O10" s="2">
        <f>SUM(B10:N10)</f>
        <v>3</v>
      </c>
    </row>
    <row r="11" spans="1:15">
      <c r="A11" s="1" t="s">
        <v>61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">
        <f t="shared" ref="O11:O25" si="0">SUM(B11:N11)</f>
        <v>0</v>
      </c>
    </row>
    <row r="12" spans="1:15">
      <c r="A12" s="1" t="s">
        <v>25</v>
      </c>
      <c r="B12" s="8">
        <v>1</v>
      </c>
      <c r="C12" s="8"/>
      <c r="D12" s="8"/>
      <c r="E12" s="8"/>
      <c r="F12" s="8"/>
      <c r="G12" s="8"/>
      <c r="H12" s="8"/>
      <c r="I12" s="8">
        <v>1</v>
      </c>
      <c r="J12" s="8">
        <v>4</v>
      </c>
      <c r="K12" s="8"/>
      <c r="L12" s="8"/>
      <c r="M12" s="8">
        <v>1</v>
      </c>
      <c r="N12" s="8"/>
      <c r="O12" s="2">
        <f t="shared" si="0"/>
        <v>7</v>
      </c>
    </row>
    <row r="13" spans="1:15">
      <c r="A13" s="1" t="s">
        <v>57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">
        <f t="shared" si="0"/>
        <v>0</v>
      </c>
    </row>
    <row r="14" spans="1:15">
      <c r="A14" s="1" t="s">
        <v>59</v>
      </c>
      <c r="B14" s="8">
        <v>1</v>
      </c>
      <c r="C14" s="8" t="s">
        <v>104</v>
      </c>
      <c r="D14" s="8">
        <v>1</v>
      </c>
      <c r="E14" s="8">
        <v>1</v>
      </c>
      <c r="F14" s="8"/>
      <c r="G14" s="8"/>
      <c r="H14" s="8"/>
      <c r="I14" s="8">
        <v>9</v>
      </c>
      <c r="J14" s="8">
        <v>68</v>
      </c>
      <c r="K14" s="8">
        <v>26</v>
      </c>
      <c r="L14" s="8"/>
      <c r="M14" s="8">
        <v>3</v>
      </c>
      <c r="N14" s="8">
        <v>11</v>
      </c>
      <c r="O14" s="2">
        <f t="shared" si="0"/>
        <v>120</v>
      </c>
    </row>
    <row r="15" spans="1:15">
      <c r="A15" s="1" t="s">
        <v>58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2">
        <f t="shared" si="0"/>
        <v>0</v>
      </c>
    </row>
    <row r="16" spans="1:15">
      <c r="A16" s="1" t="s">
        <v>26</v>
      </c>
      <c r="B16" s="8">
        <v>2</v>
      </c>
      <c r="C16" s="8"/>
      <c r="D16" s="8"/>
      <c r="E16" s="8"/>
      <c r="F16" s="8"/>
      <c r="G16" s="8"/>
      <c r="H16" s="8"/>
      <c r="I16" s="8"/>
      <c r="J16" s="8">
        <v>4</v>
      </c>
      <c r="K16" s="8"/>
      <c r="L16" s="8"/>
      <c r="M16" s="8">
        <v>2</v>
      </c>
      <c r="N16" s="8"/>
      <c r="O16" s="2">
        <f t="shared" si="0"/>
        <v>8</v>
      </c>
    </row>
    <row r="17" spans="1:15">
      <c r="A17" s="1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">
        <f t="shared" si="0"/>
        <v>0</v>
      </c>
    </row>
    <row r="18" spans="1:15">
      <c r="A18" s="1" t="s">
        <v>28</v>
      </c>
      <c r="B18" s="8" t="s">
        <v>104</v>
      </c>
      <c r="C18" s="8"/>
      <c r="D18" s="8"/>
      <c r="E18" s="8"/>
      <c r="F18" s="8"/>
      <c r="G18" s="8"/>
      <c r="H18" s="8"/>
      <c r="I18" s="8"/>
      <c r="J18" s="8" t="s">
        <v>104</v>
      </c>
      <c r="K18" s="8"/>
      <c r="L18" s="8"/>
      <c r="M18" s="8"/>
      <c r="N18" s="8"/>
      <c r="O18" s="2">
        <f t="shared" si="0"/>
        <v>0</v>
      </c>
    </row>
    <row r="19" spans="1:15">
      <c r="A19" s="1" t="s">
        <v>29</v>
      </c>
      <c r="B19" s="8">
        <v>1</v>
      </c>
      <c r="C19" s="8"/>
      <c r="D19" s="8"/>
      <c r="E19" s="8"/>
      <c r="F19" s="8"/>
      <c r="G19" s="8"/>
      <c r="H19" s="8"/>
      <c r="I19" s="8">
        <v>3</v>
      </c>
      <c r="J19" s="8"/>
      <c r="K19" s="8"/>
      <c r="L19" s="8">
        <v>15</v>
      </c>
      <c r="M19" s="8"/>
      <c r="N19" s="8"/>
      <c r="O19" s="2">
        <f t="shared" si="0"/>
        <v>19</v>
      </c>
    </row>
    <row r="20" spans="1:15">
      <c r="A20" s="1" t="s">
        <v>30</v>
      </c>
      <c r="B20" s="8">
        <v>1</v>
      </c>
      <c r="C20" s="8" t="s">
        <v>104</v>
      </c>
      <c r="D20" s="8">
        <v>1</v>
      </c>
      <c r="E20" s="8"/>
      <c r="F20" s="8"/>
      <c r="G20" s="8"/>
      <c r="H20" s="8"/>
      <c r="I20" s="8" t="s">
        <v>104</v>
      </c>
      <c r="J20" s="8">
        <v>6</v>
      </c>
      <c r="K20" s="8">
        <v>3</v>
      </c>
      <c r="L20" s="8"/>
      <c r="M20" s="8"/>
      <c r="N20" s="8"/>
      <c r="O20" s="2">
        <f t="shared" si="0"/>
        <v>11</v>
      </c>
    </row>
    <row r="21" spans="1:15">
      <c r="A21" s="1" t="s">
        <v>31</v>
      </c>
      <c r="B21" s="8">
        <v>1</v>
      </c>
      <c r="C21" s="8"/>
      <c r="D21" s="8"/>
      <c r="E21" s="8"/>
      <c r="F21" s="8"/>
      <c r="G21" s="8"/>
      <c r="H21" s="8"/>
      <c r="I21" s="8"/>
      <c r="J21" s="8">
        <v>2</v>
      </c>
      <c r="K21" s="8"/>
      <c r="L21" s="8"/>
      <c r="M21" s="8"/>
      <c r="N21" s="8"/>
      <c r="O21" s="2">
        <f t="shared" si="0"/>
        <v>3</v>
      </c>
    </row>
    <row r="22" spans="1:15">
      <c r="A22" s="1" t="s">
        <v>32</v>
      </c>
      <c r="B22" s="8">
        <v>1</v>
      </c>
      <c r="C22" s="8"/>
      <c r="D22" s="8"/>
      <c r="E22" s="8"/>
      <c r="F22" s="8"/>
      <c r="G22" s="8"/>
      <c r="H22" s="8"/>
      <c r="I22" s="8"/>
      <c r="J22" s="8"/>
      <c r="K22" s="8">
        <v>5</v>
      </c>
      <c r="L22" s="8"/>
      <c r="M22" s="8"/>
      <c r="N22" s="8"/>
      <c r="O22" s="2">
        <f t="shared" si="0"/>
        <v>6</v>
      </c>
    </row>
    <row r="23" spans="1:15">
      <c r="A23" s="1" t="s">
        <v>33</v>
      </c>
      <c r="B23" s="8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>
        <v>6</v>
      </c>
      <c r="O23" s="2">
        <f t="shared" si="0"/>
        <v>7</v>
      </c>
    </row>
    <row r="24" spans="1:15">
      <c r="A24" s="1" t="s">
        <v>51</v>
      </c>
      <c r="B24" s="8">
        <v>1</v>
      </c>
      <c r="C24" s="8"/>
      <c r="D24" s="8"/>
      <c r="E24" s="8"/>
      <c r="F24" s="8"/>
      <c r="G24" s="8"/>
      <c r="H24" s="8"/>
      <c r="I24" s="8"/>
      <c r="J24" s="8">
        <v>3</v>
      </c>
      <c r="K24" s="8"/>
      <c r="L24" s="8"/>
      <c r="M24" s="8"/>
      <c r="N24" s="8"/>
      <c r="O24" s="2">
        <f t="shared" si="0"/>
        <v>4</v>
      </c>
    </row>
    <row r="25" spans="1:15" ht="13.9" customHeight="1">
      <c r="A25" s="1" t="s">
        <v>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 t="s">
        <v>104</v>
      </c>
      <c r="N25" s="8"/>
      <c r="O25" s="2">
        <f t="shared" si="0"/>
        <v>0</v>
      </c>
    </row>
    <row r="26" spans="1:15" ht="15" customHeight="1">
      <c r="A26" s="5" t="s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2">
        <f>SUM(O10:O25)</f>
        <v>188</v>
      </c>
    </row>
    <row r="27" spans="1:15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4"/>
    </row>
    <row r="28" spans="1:15">
      <c r="A28" s="79" t="s">
        <v>35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  <row r="29" spans="1:15" ht="14.45" customHeight="1">
      <c r="A29" s="63" t="s">
        <v>36</v>
      </c>
      <c r="B29" s="63" t="s">
        <v>63</v>
      </c>
      <c r="C29" s="63" t="s">
        <v>37</v>
      </c>
      <c r="D29" s="63" t="s">
        <v>38</v>
      </c>
      <c r="E29" s="63" t="s">
        <v>39</v>
      </c>
      <c r="F29" s="63" t="s">
        <v>40</v>
      </c>
      <c r="G29" s="70" t="s">
        <v>41</v>
      </c>
      <c r="H29" s="70" t="s">
        <v>42</v>
      </c>
      <c r="I29" s="70" t="s">
        <v>43</v>
      </c>
      <c r="J29" s="70"/>
      <c r="K29" s="63"/>
      <c r="L29" s="63"/>
      <c r="M29" s="63"/>
      <c r="N29" s="63"/>
      <c r="O29" s="64" t="s">
        <v>24</v>
      </c>
    </row>
    <row r="30" spans="1:15" ht="51.6" customHeight="1">
      <c r="A30" s="63"/>
      <c r="B30" s="63"/>
      <c r="C30" s="63"/>
      <c r="D30" s="63"/>
      <c r="E30" s="63"/>
      <c r="F30" s="63"/>
      <c r="G30" s="71"/>
      <c r="H30" s="71"/>
      <c r="I30" s="71"/>
      <c r="J30" s="71"/>
      <c r="K30" s="63"/>
      <c r="L30" s="63"/>
      <c r="M30" s="63"/>
      <c r="N30" s="63"/>
      <c r="O30" s="64"/>
    </row>
    <row r="31" spans="1:15" ht="15.75">
      <c r="A31" s="6" t="s">
        <v>44</v>
      </c>
      <c r="B31" s="10"/>
      <c r="C31" s="10"/>
      <c r="D31" s="10">
        <v>1</v>
      </c>
      <c r="E31" s="10"/>
      <c r="F31" s="10">
        <v>1</v>
      </c>
      <c r="G31" s="10">
        <v>1</v>
      </c>
      <c r="H31" s="10"/>
      <c r="I31" s="10"/>
      <c r="J31" s="10"/>
      <c r="K31" s="10"/>
      <c r="L31" s="10"/>
      <c r="M31" s="10"/>
      <c r="N31" s="10"/>
      <c r="O31" s="12">
        <f>SUM(B31:N31)</f>
        <v>3</v>
      </c>
    </row>
    <row r="32" spans="1:15" ht="15.75">
      <c r="A32" s="6" t="s">
        <v>45</v>
      </c>
      <c r="B32" s="10"/>
      <c r="C32" s="10">
        <v>1</v>
      </c>
      <c r="D32" s="10">
        <v>2</v>
      </c>
      <c r="E32" s="10"/>
      <c r="F32" s="10">
        <v>1</v>
      </c>
      <c r="G32" s="10"/>
      <c r="H32" s="10">
        <v>1</v>
      </c>
      <c r="I32" s="10"/>
      <c r="J32" s="10"/>
      <c r="K32" s="10"/>
      <c r="L32" s="10"/>
      <c r="M32" s="10"/>
      <c r="N32" s="10"/>
      <c r="O32" s="12">
        <f t="shared" ref="O32:O40" si="1">SUM(B32:N32)</f>
        <v>5</v>
      </c>
    </row>
    <row r="33" spans="1:15" ht="15.75">
      <c r="A33" s="6" t="s">
        <v>46</v>
      </c>
      <c r="B33" s="10"/>
      <c r="C33" s="10"/>
      <c r="D33" s="10"/>
      <c r="E33" s="10">
        <v>1</v>
      </c>
      <c r="F33" s="10">
        <v>1</v>
      </c>
      <c r="G33" s="10"/>
      <c r="H33" s="10"/>
      <c r="I33" s="10">
        <v>2</v>
      </c>
      <c r="J33" s="10"/>
      <c r="K33" s="10"/>
      <c r="L33" s="10"/>
      <c r="M33" s="10"/>
      <c r="N33" s="10"/>
      <c r="O33" s="12">
        <f t="shared" si="1"/>
        <v>4</v>
      </c>
    </row>
    <row r="34" spans="1:15" ht="15.75">
      <c r="A34" s="6" t="s">
        <v>47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2">
        <f t="shared" si="1"/>
        <v>0</v>
      </c>
    </row>
    <row r="35" spans="1:15" ht="15.75">
      <c r="A35" s="6" t="s">
        <v>48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2">
        <f t="shared" si="1"/>
        <v>0</v>
      </c>
    </row>
    <row r="36" spans="1:15" ht="15.75">
      <c r="A36" s="6" t="s">
        <v>33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10"/>
      <c r="M36" s="10"/>
      <c r="N36" s="10"/>
      <c r="O36" s="12">
        <f t="shared" si="1"/>
        <v>2</v>
      </c>
    </row>
    <row r="37" spans="1:15" ht="15.75">
      <c r="A37" s="6" t="s">
        <v>49</v>
      </c>
      <c r="B37" s="10"/>
      <c r="C37" s="10"/>
      <c r="D37" s="10"/>
      <c r="E37" s="10">
        <v>1</v>
      </c>
      <c r="F37" s="10">
        <v>1</v>
      </c>
      <c r="G37" s="10"/>
      <c r="H37" s="10"/>
      <c r="I37" s="10">
        <v>1</v>
      </c>
      <c r="J37" s="10"/>
      <c r="K37" s="10"/>
      <c r="L37" s="10"/>
      <c r="M37" s="10"/>
      <c r="N37" s="10"/>
      <c r="O37" s="12">
        <f t="shared" si="1"/>
        <v>3</v>
      </c>
    </row>
    <row r="38" spans="1:15" ht="15.75">
      <c r="A38" s="6" t="s">
        <v>50</v>
      </c>
      <c r="B38" s="10"/>
      <c r="C38" s="10"/>
      <c r="D38" s="10"/>
      <c r="E38" s="10"/>
      <c r="F38" s="10">
        <v>1</v>
      </c>
      <c r="G38" s="10"/>
      <c r="H38" s="10"/>
      <c r="I38" s="10"/>
      <c r="J38" s="10"/>
      <c r="K38" s="10"/>
      <c r="L38" s="10"/>
      <c r="M38" s="10"/>
      <c r="N38" s="10"/>
      <c r="O38" s="12">
        <f t="shared" si="1"/>
        <v>1</v>
      </c>
    </row>
    <row r="39" spans="1:15" ht="15.75">
      <c r="A39" s="7" t="s">
        <v>51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2">
        <f t="shared" si="1"/>
        <v>0</v>
      </c>
    </row>
    <row r="40" spans="1:15" ht="15.75">
      <c r="A40" s="1" t="s">
        <v>32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2">
        <f t="shared" si="1"/>
        <v>0</v>
      </c>
    </row>
    <row r="41" spans="1:15" ht="15.75">
      <c r="A41" s="11" t="s">
        <v>89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>
        <f>SUM(O31:O40)</f>
        <v>18</v>
      </c>
    </row>
    <row r="42" spans="1:15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>
      <c r="A43" s="66" t="s">
        <v>52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spans="1:15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</row>
    <row r="45" spans="1:15" ht="15.75">
      <c r="A45" s="55" t="s">
        <v>53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spans="1:15">
      <c r="A46" s="27" t="s">
        <v>96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9"/>
    </row>
    <row r="47" spans="1:15">
      <c r="A47" s="27" t="s">
        <v>72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8" spans="1:15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9"/>
    </row>
    <row r="49" spans="1:15" ht="15.75">
      <c r="A49" s="30" t="s">
        <v>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/>
    </row>
    <row r="50" spans="1:15" ht="15.75">
      <c r="A50" s="60" t="s">
        <v>55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>
      <c r="A51" s="27" t="s">
        <v>62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9"/>
    </row>
    <row r="52" spans="1:15" ht="15.75">
      <c r="A52" s="52" t="s">
        <v>56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4"/>
    </row>
    <row r="53" spans="1:15" ht="13.9" customHeight="1">
      <c r="A53" s="46" t="s">
        <v>65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8"/>
    </row>
    <row r="54" spans="1:15">
      <c r="A54" s="27" t="s">
        <v>64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/>
    </row>
    <row r="55" spans="1:15">
      <c r="A55" s="40" t="s">
        <v>70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2"/>
    </row>
    <row r="56" spans="1:15">
      <c r="A56" s="40" t="s">
        <v>77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2"/>
    </row>
    <row r="57" spans="1:15">
      <c r="A57" s="37" t="s">
        <v>66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</row>
    <row r="58" spans="1:15">
      <c r="A58" s="27" t="s">
        <v>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9"/>
    </row>
    <row r="59" spans="1:15">
      <c r="A59" s="27" t="s">
        <v>67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9"/>
    </row>
    <row r="60" spans="1:15">
      <c r="A60" s="27" t="s">
        <v>94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9"/>
    </row>
    <row r="61" spans="1:15">
      <c r="A61" s="27" t="s">
        <v>77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/>
    </row>
    <row r="62" spans="1:15">
      <c r="A62" s="37" t="s">
        <v>68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9"/>
    </row>
    <row r="63" spans="1:15">
      <c r="A63" s="27" t="s">
        <v>62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/>
    </row>
    <row r="64" spans="1:15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</row>
    <row r="65" spans="1:15" ht="15.75">
      <c r="A65" s="30" t="s">
        <v>69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2"/>
    </row>
    <row r="66" spans="1:15">
      <c r="A66" s="46" t="s">
        <v>71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8"/>
    </row>
    <row r="67" spans="1:15">
      <c r="A67" s="27" t="s">
        <v>97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/>
    </row>
    <row r="68" spans="1:15">
      <c r="A68" s="27" t="s">
        <v>98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9"/>
    </row>
    <row r="69" spans="1:15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9"/>
    </row>
    <row r="70" spans="1:15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1"/>
    </row>
    <row r="71" spans="1:15" ht="15.75">
      <c r="A71" s="30" t="s">
        <v>74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2"/>
    </row>
    <row r="72" spans="1:15">
      <c r="A72" s="37" t="s">
        <v>75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/>
    </row>
    <row r="73" spans="1:15">
      <c r="A73" s="27" t="s">
        <v>103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9"/>
    </row>
    <row r="74" spans="1:15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9"/>
    </row>
    <row r="75" spans="1:15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9"/>
    </row>
    <row r="76" spans="1:15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8"/>
    </row>
    <row r="77" spans="1:15" ht="15.75">
      <c r="A77" s="30" t="s">
        <v>76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2"/>
    </row>
    <row r="78" spans="1:15">
      <c r="A78" s="27" t="s">
        <v>78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9"/>
    </row>
    <row r="79" spans="1:15">
      <c r="A79" s="27" t="s">
        <v>99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9"/>
    </row>
    <row r="80" spans="1:15">
      <c r="A80" s="40" t="s">
        <v>100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2"/>
    </row>
    <row r="81" spans="1:15" ht="15.75">
      <c r="A81" s="30" t="s">
        <v>79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2"/>
    </row>
    <row r="82" spans="1:15">
      <c r="A82" s="37" t="s">
        <v>80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9"/>
    </row>
    <row r="83" spans="1:15">
      <c r="A83" s="27" t="s">
        <v>101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9"/>
    </row>
    <row r="84" spans="1:15">
      <c r="A84" s="27" t="s">
        <v>102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9"/>
    </row>
    <row r="85" spans="1:15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8"/>
    </row>
    <row r="86" spans="1:15" ht="15.75">
      <c r="A86" s="30" t="s">
        <v>81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2"/>
    </row>
    <row r="87" spans="1:15">
      <c r="A87" s="37" t="s">
        <v>82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9"/>
    </row>
    <row r="88" spans="1:15">
      <c r="A88" s="27" t="s">
        <v>91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9"/>
    </row>
    <row r="89" spans="1:15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8"/>
    </row>
    <row r="90" spans="1:15" ht="15.75">
      <c r="A90" s="30" t="s">
        <v>83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2"/>
    </row>
    <row r="91" spans="1:15">
      <c r="A91" s="33" t="s">
        <v>84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5"/>
    </row>
    <row r="92" spans="1:15">
      <c r="A92" s="27" t="s">
        <v>85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9"/>
    </row>
    <row r="93" spans="1:15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9"/>
    </row>
    <row r="94" spans="1:15" ht="15.7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1:15" ht="15.75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1"/>
    </row>
    <row r="96" spans="1:15" ht="15.75">
      <c r="A96" s="22" t="s">
        <v>86</v>
      </c>
      <c r="B96" s="22"/>
      <c r="C96" s="22"/>
      <c r="D96" s="22"/>
      <c r="E96" s="23" t="s">
        <v>87</v>
      </c>
      <c r="F96" s="23"/>
      <c r="G96" s="23"/>
      <c r="H96" s="23"/>
      <c r="I96" s="23"/>
      <c r="J96" s="23"/>
      <c r="K96" s="23"/>
      <c r="L96" s="23" t="s">
        <v>88</v>
      </c>
      <c r="M96" s="23"/>
      <c r="N96" s="23"/>
      <c r="O96" s="23"/>
    </row>
    <row r="97" spans="1:15">
      <c r="A97" s="24" t="s">
        <v>90</v>
      </c>
      <c r="B97" s="24"/>
      <c r="C97" s="24"/>
      <c r="D97" s="24"/>
      <c r="E97" s="25">
        <v>45367</v>
      </c>
      <c r="F97" s="24"/>
      <c r="G97" s="24"/>
      <c r="H97" s="24"/>
      <c r="I97" s="24"/>
      <c r="J97" s="24"/>
      <c r="K97" s="24"/>
      <c r="L97" s="26"/>
      <c r="M97" s="26"/>
      <c r="N97" s="26"/>
      <c r="O97" s="26"/>
    </row>
    <row r="98" spans="1: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6"/>
      <c r="M98" s="26"/>
      <c r="N98" s="26"/>
      <c r="O98" s="26"/>
    </row>
    <row r="99" spans="1: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</sheetData>
  <sheetProtection selectLockedCells="1" selectUnlockedCells="1"/>
  <mergeCells count="96">
    <mergeCell ref="A97:D98"/>
    <mergeCell ref="E97:K98"/>
    <mergeCell ref="L97:O98"/>
    <mergeCell ref="A99:O99"/>
    <mergeCell ref="A93:O93"/>
    <mergeCell ref="A94:O94"/>
    <mergeCell ref="A95:O95"/>
    <mergeCell ref="A96:D96"/>
    <mergeCell ref="E96:K96"/>
    <mergeCell ref="L96:O96"/>
    <mergeCell ref="A87:O87"/>
    <mergeCell ref="A88:O88"/>
    <mergeCell ref="A89:O89"/>
    <mergeCell ref="A90:O90"/>
    <mergeCell ref="A91:O91"/>
    <mergeCell ref="A92:O92"/>
    <mergeCell ref="A81:O81"/>
    <mergeCell ref="A82:O82"/>
    <mergeCell ref="A83:O83"/>
    <mergeCell ref="A84:O84"/>
    <mergeCell ref="A85:O85"/>
    <mergeCell ref="A86:O86"/>
    <mergeCell ref="A75:O75"/>
    <mergeCell ref="A76:O76"/>
    <mergeCell ref="A77:O77"/>
    <mergeCell ref="A78:O78"/>
    <mergeCell ref="A79:O79"/>
    <mergeCell ref="A80:O80"/>
    <mergeCell ref="A69:O69"/>
    <mergeCell ref="A70:O70"/>
    <mergeCell ref="A71:O71"/>
    <mergeCell ref="A72:O72"/>
    <mergeCell ref="A73:O73"/>
    <mergeCell ref="A74:O74"/>
    <mergeCell ref="A63:O63"/>
    <mergeCell ref="A64:O64"/>
    <mergeCell ref="A65:O65"/>
    <mergeCell ref="A66:O66"/>
    <mergeCell ref="A67:O67"/>
    <mergeCell ref="A68:O68"/>
    <mergeCell ref="A57:O57"/>
    <mergeCell ref="A58:O58"/>
    <mergeCell ref="A59:O59"/>
    <mergeCell ref="A60:O60"/>
    <mergeCell ref="A61:O61"/>
    <mergeCell ref="A62:O62"/>
    <mergeCell ref="A51:O51"/>
    <mergeCell ref="A52:O52"/>
    <mergeCell ref="A53:O53"/>
    <mergeCell ref="A54:O54"/>
    <mergeCell ref="A55:O55"/>
    <mergeCell ref="A56:O56"/>
    <mergeCell ref="A45:O45"/>
    <mergeCell ref="A46:O46"/>
    <mergeCell ref="A47:O47"/>
    <mergeCell ref="A48:O48"/>
    <mergeCell ref="A49:O49"/>
    <mergeCell ref="A50:O50"/>
    <mergeCell ref="L29:L30"/>
    <mergeCell ref="M29:M30"/>
    <mergeCell ref="N29:N30"/>
    <mergeCell ref="O29:O30"/>
    <mergeCell ref="A42:O42"/>
    <mergeCell ref="A43:O44"/>
    <mergeCell ref="F29:F30"/>
    <mergeCell ref="G29:G30"/>
    <mergeCell ref="H29:H30"/>
    <mergeCell ref="I29:I30"/>
    <mergeCell ref="J29:J30"/>
    <mergeCell ref="K29:K30"/>
    <mergeCell ref="A6:O6"/>
    <mergeCell ref="A7:O7"/>
    <mergeCell ref="A8:O8"/>
    <mergeCell ref="A27:O27"/>
    <mergeCell ref="A28:O28"/>
    <mergeCell ref="A29:A30"/>
    <mergeCell ref="B29:B30"/>
    <mergeCell ref="C29:C30"/>
    <mergeCell ref="D29:D30"/>
    <mergeCell ref="E29:E30"/>
    <mergeCell ref="A4:B4"/>
    <mergeCell ref="C4:K4"/>
    <mergeCell ref="L4:M4"/>
    <mergeCell ref="N4:O4"/>
    <mergeCell ref="A5:B5"/>
    <mergeCell ref="C5:K5"/>
    <mergeCell ref="L5:M5"/>
    <mergeCell ref="N5:O5"/>
    <mergeCell ref="A1:O1"/>
    <mergeCell ref="A2:B3"/>
    <mergeCell ref="C2:K2"/>
    <mergeCell ref="L2:M2"/>
    <mergeCell ref="N2:O2"/>
    <mergeCell ref="C3:K3"/>
    <mergeCell ref="L3:M3"/>
    <mergeCell ref="N3:O3"/>
  </mergeCells>
  <dataValidations count="4">
    <dataValidation type="list" allowBlank="1" showInputMessage="1" showErrorMessage="1" sqref="N4:O4" xr:uid="{EA7FC08B-9F20-418D-940E-584DB45D9526}">
      <formula1>"Montag,Dienstag,Mittwoch,Donnerstag,Freitag,Samstag,Sonntag"</formula1>
    </dataValidation>
    <dataValidation type="list" allowBlank="1" showInputMessage="1" showErrorMessage="1" sqref="L97:O98" xr:uid="{DC6BC84E-5577-498D-B0AB-A45D00F60EE0}">
      <formula1>"Jarosław Topolski,Piotr Jelonek"</formula1>
    </dataValidation>
    <dataValidation type="list" allowBlank="1" showInputMessage="1" showErrorMessage="1" sqref="J15:J25 B40:N40 B32:N38 B14:I25 K14:N25 B10:N11" xr:uid="{9A7FF2A9-EA94-47EB-8622-F7C96CCF04FE}">
      <formula1>"-,1,2,3,4,5,6,7,8,9,10,11,12,13,14,15,16,17,18,19,20,21,22,23,24,25,26,27,28,29,30,31,32,33,34,35,36,37,38,39,40"</formula1>
    </dataValidation>
    <dataValidation type="whole" showInputMessage="1" showErrorMessage="1" sqref="J14" xr:uid="{2B6DA57C-8C8C-464F-A681-135538ACB556}">
      <formula1>0</formula1>
      <formula2>100</formula2>
    </dataValidation>
  </dataValidations>
  <pageMargins left="0.70866141732283461" right="0.70866141732283461" top="0.78740157480314965" bottom="0.78740157480314965" header="0.31496062992125984" footer="0.31496062992125984"/>
  <pageSetup paperSize="9" scale="73" fitToHeight="0" orientation="portrait" r:id="rId1"/>
  <rowBreaks count="1" manualBreakCount="1">
    <brk id="56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6</vt:i4>
      </vt:variant>
    </vt:vector>
  </HeadingPairs>
  <TitlesOfParts>
    <vt:vector size="12" baseType="lpstr">
      <vt:lpstr>xxx_11.03.24 </vt:lpstr>
      <vt:lpstr>xxx_12.03.24 </vt:lpstr>
      <vt:lpstr>xxx_13.03.24  </vt:lpstr>
      <vt:lpstr>xxx_14.03.24   </vt:lpstr>
      <vt:lpstr>xxx_15.03.24    </vt:lpstr>
      <vt:lpstr>xxx_16.03.24     </vt:lpstr>
      <vt:lpstr>'xxx_11.03.24 '!Druckbereich</vt:lpstr>
      <vt:lpstr>'xxx_12.03.24 '!Druckbereich</vt:lpstr>
      <vt:lpstr>'xxx_13.03.24  '!Druckbereich</vt:lpstr>
      <vt:lpstr>'xxx_14.03.24   '!Druckbereich</vt:lpstr>
      <vt:lpstr>'xxx_15.03.24    '!Druckbereich</vt:lpstr>
      <vt:lpstr>'xxx_16.03.24     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Damian Majka</dc:creator>
  <cp:keywords/>
  <dc:description/>
  <cp:lastModifiedBy>Zlatkovic Aleksandar</cp:lastModifiedBy>
  <cp:revision/>
  <cp:lastPrinted>2024-03-19T14:46:05Z</cp:lastPrinted>
  <dcterms:created xsi:type="dcterms:W3CDTF">2023-01-21T15:43:56Z</dcterms:created>
  <dcterms:modified xsi:type="dcterms:W3CDTF">2024-11-08T09:24:59Z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947308-b50d-4669-9e0a-cbd692492d22_Enabled">
    <vt:lpwstr>true</vt:lpwstr>
  </property>
  <property fmtid="{D5CDD505-2E9C-101B-9397-08002B2CF9AE}" pid="3" name="MSIP_Label_8d947308-b50d-4669-9e0a-cbd692492d22_SetDate">
    <vt:lpwstr>2024-01-18T07:35:36Z</vt:lpwstr>
  </property>
  <property fmtid="{D5CDD505-2E9C-101B-9397-08002B2CF9AE}" pid="4" name="MSIP_Label_8d947308-b50d-4669-9e0a-cbd692492d22_Method">
    <vt:lpwstr>Privileged</vt:lpwstr>
  </property>
  <property fmtid="{D5CDD505-2E9C-101B-9397-08002B2CF9AE}" pid="5" name="MSIP_Label_8d947308-b50d-4669-9e0a-cbd692492d22_Name">
    <vt:lpwstr>Verejne</vt:lpwstr>
  </property>
  <property fmtid="{D5CDD505-2E9C-101B-9397-08002B2CF9AE}" pid="6" name="MSIP_Label_8d947308-b50d-4669-9e0a-cbd692492d22_SiteId">
    <vt:lpwstr>f5c21927-f647-4fc0-a838-5ed4155667dc</vt:lpwstr>
  </property>
  <property fmtid="{D5CDD505-2E9C-101B-9397-08002B2CF9AE}" pid="7" name="MSIP_Label_8d947308-b50d-4669-9e0a-cbd692492d22_ActionId">
    <vt:lpwstr>795fc52b-1e1f-404a-a0cd-68347270ac5c</vt:lpwstr>
  </property>
  <property fmtid="{D5CDD505-2E9C-101B-9397-08002B2CF9AE}" pid="8" name="MSIP_Label_8d947308-b50d-4669-9e0a-cbd692492d22_ContentBits">
    <vt:lpwstr>0</vt:lpwstr>
  </property>
</Properties>
</file>